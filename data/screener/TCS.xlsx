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pratyush/Websites/screener/company/"/>
    </mc:Choice>
  </mc:AlternateContent>
  <xr:revisionPtr revIDLastSave="0" documentId="13_ncr:1_{71AC4F62-F3F6-2E4B-8F69-3E72AC5D7A2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rofit &amp; Loss" sheetId="1" r:id="rId1"/>
    <sheet name="Quarters" sheetId="3" r:id="rId2"/>
    <sheet name="Balance Sheet" sheetId="2" r:id="rId3"/>
    <sheet name="Cash Flow" sheetId="4" r:id="rId4"/>
    <sheet name="Customization" sheetId="5" r:id="rId5"/>
    <sheet name="Data Sheet" sheetId="6" r:id="rId6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" i="3" l="1"/>
  <c r="D6" i="3"/>
  <c r="E6" i="3"/>
  <c r="F6" i="3"/>
  <c r="G6" i="3"/>
  <c r="H6" i="3"/>
  <c r="I6" i="3"/>
  <c r="J6" i="3"/>
  <c r="K6" i="3"/>
  <c r="B6" i="3"/>
  <c r="C5" i="1"/>
  <c r="D5" i="1"/>
  <c r="E5" i="1"/>
  <c r="F5" i="1"/>
  <c r="G5" i="1"/>
  <c r="H5" i="1"/>
  <c r="I5" i="1"/>
  <c r="J5" i="1"/>
  <c r="K5" i="1"/>
  <c r="B5" i="1"/>
  <c r="D13" i="1" s="1"/>
  <c r="E13" i="1" s="1"/>
  <c r="K13" i="1"/>
  <c r="C13" i="1"/>
  <c r="F13" i="1"/>
  <c r="G13" i="1"/>
  <c r="J13" i="1"/>
  <c r="B13" i="1"/>
  <c r="B6" i="6"/>
  <c r="C17" i="2"/>
  <c r="D17" i="2"/>
  <c r="E17" i="2"/>
  <c r="F17" i="2"/>
  <c r="G17" i="2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D24" i="2" s="1"/>
  <c r="D4" i="2"/>
  <c r="E24" i="2" s="1"/>
  <c r="E4" i="2"/>
  <c r="F24" i="2" s="1"/>
  <c r="E5" i="2"/>
  <c r="E23" i="2"/>
  <c r="F4" i="2"/>
  <c r="G24" i="2" s="1"/>
  <c r="G4" i="2"/>
  <c r="H24" i="2" s="1"/>
  <c r="H4" i="2"/>
  <c r="I24" i="2" s="1"/>
  <c r="I4" i="2"/>
  <c r="J24" i="2" s="1"/>
  <c r="I5" i="2"/>
  <c r="I23" i="2"/>
  <c r="J4" i="2"/>
  <c r="K24" i="2" s="1"/>
  <c r="J5" i="2"/>
  <c r="J23" i="2" s="1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G16" i="2" s="1"/>
  <c r="H7" i="2"/>
  <c r="I7" i="2"/>
  <c r="I16" i="2" s="1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E13" i="2"/>
  <c r="E16" i="2" s="1"/>
  <c r="F13" i="2"/>
  <c r="G13" i="2"/>
  <c r="H13" i="2"/>
  <c r="I13" i="2"/>
  <c r="J13" i="2"/>
  <c r="J16" i="2" s="1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24" i="2" s="1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L8" i="1" s="1"/>
  <c r="J8" i="3"/>
  <c r="K8" i="3"/>
  <c r="C9" i="3"/>
  <c r="D9" i="3"/>
  <c r="E9" i="3"/>
  <c r="F9" i="3"/>
  <c r="G9" i="3"/>
  <c r="H9" i="3"/>
  <c r="L9" i="1" s="1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F20" i="2" s="1"/>
  <c r="G4" i="1"/>
  <c r="H4" i="1"/>
  <c r="I24" i="1" s="1"/>
  <c r="I4" i="1"/>
  <c r="K24" i="1" s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5" i="1"/>
  <c r="C14" i="1"/>
  <c r="D15" i="1"/>
  <c r="D14" i="1" s="1"/>
  <c r="E15" i="1"/>
  <c r="E14" i="1" s="1"/>
  <c r="F15" i="1"/>
  <c r="F14" i="1"/>
  <c r="G15" i="1"/>
  <c r="G14" i="1"/>
  <c r="H15" i="1"/>
  <c r="H14" i="1" s="1"/>
  <c r="I15" i="1"/>
  <c r="I14" i="1" s="1"/>
  <c r="K25" i="1" s="1"/>
  <c r="M25" i="1" s="1"/>
  <c r="M14" i="1" s="1"/>
  <c r="M15" i="1" s="1"/>
  <c r="J15" i="1"/>
  <c r="J14" i="1"/>
  <c r="K15" i="1"/>
  <c r="K14" i="1"/>
  <c r="B15" i="1"/>
  <c r="B14" i="1" s="1"/>
  <c r="H13" i="1"/>
  <c r="I13" i="1"/>
  <c r="B7" i="1"/>
  <c r="B4" i="1"/>
  <c r="B20" i="2" s="1"/>
  <c r="A1" i="1"/>
  <c r="E1" i="6"/>
  <c r="H1" i="1" s="1"/>
  <c r="E1" i="2"/>
  <c r="E1" i="3"/>
  <c r="H16" i="2"/>
  <c r="D16" i="2"/>
  <c r="K23" i="2"/>
  <c r="F23" i="2"/>
  <c r="C23" i="2"/>
  <c r="K16" i="2"/>
  <c r="C16" i="2"/>
  <c r="G23" i="2"/>
  <c r="F16" i="2"/>
  <c r="B23" i="2"/>
  <c r="E6" i="1"/>
  <c r="E19" i="1"/>
  <c r="H23" i="2"/>
  <c r="D23" i="2"/>
  <c r="I6" i="1"/>
  <c r="I19" i="1" s="1"/>
  <c r="J6" i="1"/>
  <c r="J19" i="1"/>
  <c r="K6" i="1"/>
  <c r="K19" i="1"/>
  <c r="G6" i="1"/>
  <c r="G19" i="1" s="1"/>
  <c r="C6" i="1"/>
  <c r="C19" i="1"/>
  <c r="D6" i="1"/>
  <c r="D19" i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H21" i="2"/>
  <c r="G21" i="2"/>
  <c r="F21" i="2"/>
  <c r="E21" i="2"/>
  <c r="D21" i="2"/>
  <c r="C21" i="2"/>
  <c r="B18" i="2"/>
  <c r="B21" i="2"/>
  <c r="B13" i="2"/>
  <c r="B16" i="2" s="1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N13" i="1"/>
  <c r="M13" i="1"/>
  <c r="L13" i="1"/>
  <c r="L15" i="1"/>
  <c r="B12" i="1"/>
  <c r="B11" i="1"/>
  <c r="B10" i="1"/>
  <c r="B9" i="1"/>
  <c r="B8" i="1"/>
  <c r="B3" i="1"/>
  <c r="E14" i="3"/>
  <c r="I14" i="3"/>
  <c r="G14" i="3"/>
  <c r="G20" i="2"/>
  <c r="K20" i="2"/>
  <c r="D20" i="2"/>
  <c r="L14" i="1"/>
  <c r="L25" i="1"/>
  <c r="L23" i="1"/>
  <c r="J20" i="2"/>
  <c r="C20" i="2"/>
  <c r="E20" i="2"/>
  <c r="L12" i="1"/>
  <c r="L11" i="1"/>
  <c r="L10" i="1"/>
  <c r="N11" i="1" s="1"/>
  <c r="L6" i="1"/>
  <c r="L19" i="1" s="1"/>
  <c r="L24" i="1" s="1"/>
  <c r="L4" i="1"/>
  <c r="A1" i="3"/>
  <c r="A1" i="2"/>
  <c r="A1" i="4"/>
  <c r="H24" i="1"/>
  <c r="H23" i="1"/>
  <c r="I23" i="1"/>
  <c r="J23" i="1"/>
  <c r="L5" i="1"/>
  <c r="M11" i="1"/>
  <c r="J25" i="1" l="1"/>
  <c r="M24" i="1"/>
  <c r="M9" i="1"/>
  <c r="N9" i="1"/>
  <c r="N8" i="1"/>
  <c r="M8" i="1"/>
  <c r="N23" i="1"/>
  <c r="N4" i="1" s="1"/>
  <c r="H25" i="1"/>
  <c r="N25" i="1" s="1"/>
  <c r="N14" i="1" s="1"/>
  <c r="N15" i="1" s="1"/>
  <c r="I25" i="1"/>
  <c r="I20" i="2"/>
  <c r="J24" i="1"/>
  <c r="N24" i="1" s="1"/>
  <c r="H20" i="2"/>
  <c r="K23" i="1"/>
  <c r="M23" i="1" s="1"/>
  <c r="M4" i="1" s="1"/>
  <c r="H6" i="1"/>
  <c r="H19" i="1" s="1"/>
  <c r="F6" i="1"/>
  <c r="F19" i="1" s="1"/>
  <c r="E1" i="4"/>
  <c r="N6" i="1" l="1"/>
  <c r="N10" i="1" s="1"/>
  <c r="N12" i="1" s="1"/>
  <c r="N5" i="1"/>
  <c r="M6" i="1"/>
  <c r="M10" i="1" s="1"/>
  <c r="M12" i="1" s="1"/>
  <c r="M5" i="1" l="1"/>
</calcChain>
</file>

<file path=xl/sharedStrings.xml><?xml version="1.0" encoding="utf-8"?>
<sst xmlns="http://schemas.openxmlformats.org/spreadsheetml/2006/main" count="145" uniqueCount="93">
  <si>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</si>
  <si>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</si>
  <si>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</si>
  <si>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</si>
  <si>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</si>
  <si>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</si>
  <si>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</si>
  <si>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</si>
  <si>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</si>
  <si>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</si>
  <si>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</si>
  <si>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</si>
  <si>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</si>
  <si>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</si>
  <si>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</si>
  <si>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</si>
  <si>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</si>
  <si>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</si>
  <si>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</si>
  <si>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</si>
  <si>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</si>
  <si>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</si>
  <si>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</si>
  <si>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</si>
  <si>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</si>
  <si>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</si>
  <si>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</si>
  <si>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</si>
  <si>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</si>
  <si>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</si>
  <si>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</si>
  <si>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</si>
  <si>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</si>
  <si>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</si>
  <si>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</si>
  <si>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</si>
  <si>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</si>
  <si>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</si>
  <si>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</si>
  <si>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</si>
  <si>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</si>
  <si>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</si>
  <si>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</si>
  <si>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</si>
  <si>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</si>
  <si>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</si>
  <si>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</si>
  <si>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</si>
  <si>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</si>
  <si>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</si>
  <si>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</si>
  <si>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</si>
  <si>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</si>
  <si>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</si>
  <si>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</si>
  <si>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</si>
  <si>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</si>
  <si>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</si>
  <si>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</si>
  <si>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</si>
  <si>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</si>
  <si>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</si>
  <si>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</si>
  <si>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TATA CONSULTANCY SERVICES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</si>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</sst>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[$-409]mmm\-yy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34">
    <xf numFmtId="0" fontId="0" fillId="0" borderId="0" xfId="0"/>
    <xf numFmtId="164" fontId="1" fillId="0" borderId="0" xfId="1" applyFont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164" fontId="0" fillId="0" borderId="0" xfId="1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1" fillId="0" borderId="0" xfId="0" applyFont="1" applyBorder="1"/>
    <xf numFmtId="164" fontId="3" fillId="0" borderId="0" xfId="1" applyFont="1" applyBorder="1"/>
    <xf numFmtId="9" fontId="3" fillId="0" borderId="0" xfId="1" applyNumberFormat="1" applyFont="1" applyBorder="1"/>
    <xf numFmtId="0" fontId="0" fillId="0" borderId="0" xfId="0" applyBorder="1"/>
    <xf numFmtId="164" fontId="2" fillId="2" borderId="0" xfId="3" applyNumberFormat="1" applyFont="1" applyBorder="1"/>
    <xf numFmtId="164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 applyBorder="1"/>
    <xf numFmtId="165" fontId="2" fillId="5" borderId="0" xfId="0" applyNumberFormat="1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0" fillId="0" borderId="0" xfId="0" applyFill="1" applyBorder="1"/>
    <xf numFmtId="164" fontId="0" fillId="0" borderId="0" xfId="1" applyNumberFormat="1" applyFont="1" applyBorder="1" applyAlignment="1">
      <alignment horizontal="center"/>
    </xf>
    <xf numFmtId="164" fontId="1" fillId="0" borderId="0" xfId="1" applyNumberFormat="1" applyFont="1" applyBorder="1" applyAlignment="1">
      <alignment horizontal="center"/>
    </xf>
    <xf numFmtId="164" fontId="0" fillId="0" borderId="0" xfId="1" applyNumberFormat="1" applyFont="1" applyBorder="1"/>
    <xf numFmtId="10" fontId="1" fillId="0" borderId="0" xfId="0" applyNumberFormat="1" applyFont="1" applyBorder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 applyBorder="1"/>
    <xf numFmtId="0" fontId="0" fillId="0" borderId="0" xfId="0" applyBorder="1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0" fillId="0" borderId="0" xfId="0" applyFont="1" applyFill="1" applyBorder="1"/>
    <xf numFmtId="0" fontId="9" fillId="0" borderId="0" xfId="0" applyFont="1" applyFill="1" applyBorder="1"/>
    <xf numFmtId="43" fontId="0" fillId="0" borderId="0" xfId="1" applyNumberFormat="1" applyFont="1" applyBorder="1"/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tabSelected="1"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10" defaultColWidth="8.83203125" defaultRowHeight="15" x14ac:dyDescent="0.2"/>
  <cols>
    <col min="1" max="1" width="20.6640625" style="6" customWidth="1"/>
    <col min="2" max="6" width="13.5" style="6" customWidth="1"/>
    <col min="7" max="7" width="14.83203125" style="6" bestFit="1" customWidth="1"/>
    <col min="8" max="11" width="13.5" style="6" customWidth="1"/>
    <col min="12" max="12" width="13.33203125" style="6" customWidth="1"/>
    <col min="13" max="14" width="12.1640625" style="6" customWidth="1"/>
    <col min="15" max="16384" width="8.83203125" style="6"/>
  </cols>
  <sheetData>
    <row r="1" spans="1:14" s="8" customFormat="1" x14ac:dyDescent="0.2">
      <c r="A1" s="8" t="str">
        <f>'Data Sheet'!B1</f>
      </c>
      <c r="H1" t="str">
        <f>UPDATE</f>
      </c>
      <c r="J1" s="3"/>
      <c r="K1" s="3"/>
      <c r="M1" s="8" t="s">
        <v>1</v>
      </c>
    </row>
    <row r="3" spans="1:14" s="2" customFormat="1" x14ac:dyDescent="0.2">
      <c r="A3" s="15" t="s">
        <v>2</v>
      </c>
      <c r="B3" s="16">
        <f>'Data Sheet'!B16</f>
      </c>
      <c r="C3" s="16">
        <f>'Data Sheet'!C16</f>
      </c>
      <c r="D3" s="16">
        <f>'Data Sheet'!D16</f>
      </c>
      <c r="E3" s="16">
        <f>'Data Sheet'!E16</f>
      </c>
      <c r="F3" s="16">
        <f>'Data Sheet'!F16</f>
      </c>
      <c r="G3" s="16">
        <f>'Data Sheet'!G16</f>
      </c>
      <c r="H3" s="16">
        <f>'Data Sheet'!H16</f>
      </c>
      <c r="I3" s="16">
        <f>'Data Sheet'!I16</f>
      </c>
      <c r="J3" s="16">
        <f>'Data Sheet'!J16</f>
      </c>
      <c r="K3" s="16">
        <f>'Data Sheet'!K16</f>
      </c>
      <c r="L3" s="17" t="s">
        <v>3</v>
      </c>
      <c r="M3" s="17" t="s">
        <v>4</v>
      </c>
      <c r="N3" s="17" t="s">
        <v>5</v>
      </c>
    </row>
    <row r="4" spans="1:14" s="8" customFormat="1" x14ac:dyDescent="0.2">
      <c r="A4" s="8" t="s">
        <v>6</v>
      </c>
      <c r="B4" s="1">
        <f>'Data Sheet'!B17</f>
      </c>
      <c r="C4" s="1">
        <f>'Data Sheet'!C17</f>
      </c>
      <c r="D4" s="1">
        <f>'Data Sheet'!D17</f>
      </c>
      <c r="E4" s="1">
        <f>'Data Sheet'!E17</f>
      </c>
      <c r="F4" s="1">
        <f>'Data Sheet'!F17</f>
      </c>
      <c r="G4" s="1">
        <f>'Data Sheet'!G17</f>
      </c>
      <c r="H4" s="1">
        <f>'Data Sheet'!H17</f>
      </c>
      <c r="I4" s="1">
        <f>'Data Sheet'!I17</f>
      </c>
      <c r="J4" s="1">
        <f>'Data Sheet'!J17</f>
      </c>
      <c r="K4" s="1">
        <f>'Data Sheet'!K17</f>
      </c>
      <c r="L4" s="1">
        <f>SUM(Quarters!H4:K4)</f>
      </c>
      <c r="M4" s="1">
        <f>$K4+M23*K4</f>
      </c>
      <c r="N4" s="1">
        <f>$K4+N23*L4</f>
      </c>
    </row>
    <row r="5" spans="1:14" x14ac:dyDescent="0.2">
      <c r="A5" s="6" t="s">
        <v>7</v>
      </c>
      <c r="B5" s="9">
        <f>SUM('Data Sheet'!B18,'Data Sheet'!B20:B24, -1*'Data Sheet'!B19)</f>
      </c>
      <c r="C5" s="9">
        <f>SUM('Data Sheet'!C18,'Data Sheet'!C20:C24, -1*'Data Sheet'!C19)</f>
      </c>
      <c r="D5" s="9">
        <f>SUM('Data Sheet'!D18,'Data Sheet'!D20:D24, -1*'Data Sheet'!D19)</f>
      </c>
      <c r="E5" s="9">
        <f>SUM('Data Sheet'!E18,'Data Sheet'!E20:E24, -1*'Data Sheet'!E19)</f>
      </c>
      <c r="F5" s="9">
        <f>SUM('Data Sheet'!F18,'Data Sheet'!F20:F24, -1*'Data Sheet'!F19)</f>
      </c>
      <c r="G5" s="9">
        <f>SUM('Data Sheet'!G18,'Data Sheet'!G20:G24, -1*'Data Sheet'!G19)</f>
      </c>
      <c r="H5" s="9">
        <f>SUM('Data Sheet'!H18,'Data Sheet'!H20:H24, -1*'Data Sheet'!H19)</f>
      </c>
      <c r="I5" s="9">
        <f>SUM('Data Sheet'!I18,'Data Sheet'!I20:I24, -1*'Data Sheet'!I19)</f>
      </c>
      <c r="J5" s="9">
        <f>SUM('Data Sheet'!J18,'Data Sheet'!J20:J24, -1*'Data Sheet'!J19)</f>
      </c>
      <c r="K5" s="9">
        <f>SUM('Data Sheet'!K18,'Data Sheet'!K20:K24, -1*'Data Sheet'!K19)</f>
      </c>
      <c r="L5" s="9">
        <f>SUM(Quarters!H5:K5)</f>
      </c>
      <c r="M5" s="9">
        <f t="shared" ref="M5:N5" si="0">M4-M6</f>
      </c>
      <c r="N5" s="9">
        <f t="shared" si="0"/>
      </c>
    </row>
    <row r="6" spans="1:14" s="8" customFormat="1" x14ac:dyDescent="0.2">
      <c r="A6" s="8" t="s">
        <v>8</v>
      </c>
      <c r="B6" s="1">
        <f>B4-B5</f>
      </c>
      <c r="C6" s="1">
        <f t="shared" ref="C6:K6" si="1">C4-C5</f>
      </c>
      <c r="D6" s="1">
        <f t="shared" si="1"/>
      </c>
      <c r="E6" s="1">
        <f t="shared" si="1"/>
      </c>
      <c r="F6" s="1">
        <f t="shared" si="1"/>
      </c>
      <c r="G6" s="1">
        <f t="shared" si="1"/>
      </c>
      <c r="H6" s="1">
        <f t="shared" si="1"/>
      </c>
      <c r="I6" s="1">
        <f t="shared" si="1"/>
      </c>
      <c r="J6" s="1">
        <f t="shared" si="1"/>
      </c>
      <c r="K6" s="1">
        <f t="shared" si="1"/>
      </c>
      <c r="L6" s="1">
        <f>SUM(Quarters!H6:K6)</f>
      </c>
      <c r="M6" s="1">
        <f>M4*M24</f>
      </c>
      <c r="N6" s="1">
        <f>N4*N24</f>
      </c>
    </row>
    <row r="7" spans="1:14" x14ac:dyDescent="0.2">
      <c r="A7" s="6" t="s">
        <v>9</v>
      </c>
      <c r="B7" s="9">
        <f>'Data Sheet'!B25</f>
      </c>
      <c r="C7" s="9">
        <f>'Data Sheet'!C25</f>
      </c>
      <c r="D7" s="9">
        <f>'Data Sheet'!D25</f>
      </c>
      <c r="E7" s="9">
        <f>'Data Sheet'!E25</f>
      </c>
      <c r="F7" s="9">
        <f>'Data Sheet'!F25</f>
      </c>
      <c r="G7" s="9">
        <f>'Data Sheet'!G25</f>
      </c>
      <c r="H7" s="9">
        <f>'Data Sheet'!H25</f>
      </c>
      <c r="I7" s="9">
        <f>'Data Sheet'!I25</f>
      </c>
      <c r="J7" s="9">
        <f>'Data Sheet'!J25</f>
      </c>
      <c r="K7" s="9">
        <f>'Data Sheet'!K25</f>
      </c>
      <c r="L7" s="9">
        <f>SUM(Quarters!H7:K7)</f>
      </c>
      <c r="M7" s="9">
        <v>0</v>
      </c>
      <c r="N7" s="9">
        <v>0</v>
      </c>
    </row>
    <row r="8" spans="1:14" x14ac:dyDescent="0.2">
      <c r="A8" s="6" t="s">
        <v>10</v>
      </c>
      <c r="B8" s="9">
        <f>'Data Sheet'!B26</f>
      </c>
      <c r="C8" s="9">
        <f>'Data Sheet'!C26</f>
      </c>
      <c r="D8" s="9">
        <f>'Data Sheet'!D26</f>
      </c>
      <c r="E8" s="9">
        <f>'Data Sheet'!E26</f>
      </c>
      <c r="F8" s="9">
        <f>'Data Sheet'!F26</f>
      </c>
      <c r="G8" s="9">
        <f>'Data Sheet'!G26</f>
      </c>
      <c r="H8" s="9">
        <f>'Data Sheet'!H26</f>
      </c>
      <c r="I8" s="9">
        <f>'Data Sheet'!I26</f>
      </c>
      <c r="J8" s="9">
        <f>'Data Sheet'!J26</f>
      </c>
      <c r="K8" s="9">
        <f>'Data Sheet'!K26</f>
      </c>
      <c r="L8" s="9">
        <f>SUM(Quarters!H8:K8)</f>
      </c>
      <c r="M8" s="9">
        <f>+$L8</f>
      </c>
      <c r="N8" s="9">
        <f>+$L8</f>
      </c>
    </row>
    <row r="9" spans="1:14" x14ac:dyDescent="0.2">
      <c r="A9" s="6" t="s">
        <v>11</v>
      </c>
      <c r="B9" s="9">
        <f>'Data Sheet'!B27</f>
      </c>
      <c r="C9" s="9">
        <f>'Data Sheet'!C27</f>
      </c>
      <c r="D9" s="9">
        <f>'Data Sheet'!D27</f>
      </c>
      <c r="E9" s="9">
        <f>'Data Sheet'!E27</f>
      </c>
      <c r="F9" s="9">
        <f>'Data Sheet'!F27</f>
      </c>
      <c r="G9" s="9">
        <f>'Data Sheet'!G27</f>
      </c>
      <c r="H9" s="9">
        <f>'Data Sheet'!H27</f>
      </c>
      <c r="I9" s="9">
        <f>'Data Sheet'!I27</f>
      </c>
      <c r="J9" s="9">
        <f>'Data Sheet'!J27</f>
      </c>
      <c r="K9" s="9">
        <f>'Data Sheet'!K27</f>
      </c>
      <c r="L9" s="9">
        <f>SUM(Quarters!H9:K9)</f>
      </c>
      <c r="M9" s="9">
        <f>+$L9</f>
      </c>
      <c r="N9" s="9">
        <f>+$L9</f>
      </c>
    </row>
    <row r="10" spans="1:14" x14ac:dyDescent="0.2">
      <c r="A10" s="6" t="s">
        <v>12</v>
      </c>
      <c r="B10" s="9">
        <f>'Data Sheet'!B28</f>
      </c>
      <c r="C10" s="9">
        <f>'Data Sheet'!C28</f>
      </c>
      <c r="D10" s="9">
        <f>'Data Sheet'!D28</f>
      </c>
      <c r="E10" s="9">
        <f>'Data Sheet'!E28</f>
      </c>
      <c r="F10" s="9">
        <f>'Data Sheet'!F28</f>
      </c>
      <c r="G10" s="9">
        <f>'Data Sheet'!G28</f>
      </c>
      <c r="H10" s="9">
        <f>'Data Sheet'!H28</f>
      </c>
      <c r="I10" s="9">
        <f>'Data Sheet'!I28</f>
      </c>
      <c r="J10" s="9">
        <f>'Data Sheet'!J28</f>
      </c>
      <c r="K10" s="9">
        <f>'Data Sheet'!K28</f>
      </c>
      <c r="L10" s="9">
        <f>SUM(Quarters!H10:K10)</f>
      </c>
      <c r="M10" s="9">
        <f>M6+M7-SUM(M8:M9)</f>
      </c>
      <c r="N10" s="9">
        <f>N6+N7-SUM(N8:N9)</f>
      </c>
    </row>
    <row r="11" spans="1:14" x14ac:dyDescent="0.2">
      <c r="A11" s="6" t="s">
        <v>13</v>
      </c>
      <c r="B11" s="9">
        <f>'Data Sheet'!B29</f>
      </c>
      <c r="C11" s="9">
        <f>'Data Sheet'!C29</f>
      </c>
      <c r="D11" s="9">
        <f>'Data Sheet'!D29</f>
      </c>
      <c r="E11" s="9">
        <f>'Data Sheet'!E29</f>
      </c>
      <c r="F11" s="9">
        <f>'Data Sheet'!F29</f>
      </c>
      <c r="G11" s="9">
        <f>'Data Sheet'!G29</f>
      </c>
      <c r="H11" s="9">
        <f>'Data Sheet'!H29</f>
      </c>
      <c r="I11" s="9">
        <f>'Data Sheet'!I29</f>
      </c>
      <c r="J11" s="9">
        <f>'Data Sheet'!J29</f>
      </c>
      <c r="K11" s="9">
        <f>'Data Sheet'!K29</f>
      </c>
      <c r="L11" s="9">
        <f>SUM(Quarters!H11:K11)</f>
      </c>
      <c r="M11" s="10">
        <f>IF($L10&gt;0,$L11/$L10,0)</f>
      </c>
      <c r="N11" s="10">
        <f>IF($L10&gt;0,$L11/$L10,0)</f>
      </c>
    </row>
    <row r="12" spans="1:14" s="8" customFormat="1" x14ac:dyDescent="0.2">
      <c r="A12" s="8" t="s">
        <v>14</v>
      </c>
      <c r="B12" s="1">
        <f>'Data Sheet'!B30</f>
      </c>
      <c r="C12" s="1">
        <f>'Data Sheet'!C30</f>
      </c>
      <c r="D12" s="1">
        <f>'Data Sheet'!D30</f>
      </c>
      <c r="E12" s="1">
        <f>'Data Sheet'!E30</f>
      </c>
      <c r="F12" s="1">
        <f>'Data Sheet'!F30</f>
      </c>
      <c r="G12" s="1">
        <f>'Data Sheet'!G30</f>
      </c>
      <c r="H12" s="1">
        <f>'Data Sheet'!H30</f>
      </c>
      <c r="I12" s="1">
        <f>'Data Sheet'!I30</f>
      </c>
      <c r="J12" s="1">
        <f>'Data Sheet'!J30</f>
      </c>
      <c r="K12" s="1">
        <f>'Data Sheet'!K30</f>
      </c>
      <c r="L12" s="1">
        <f>SUM(Quarters!H12:K12)</f>
      </c>
      <c r="M12" s="1">
        <f>M10-M11*M10</f>
      </c>
      <c r="N12" s="1">
        <f>N10-N11*N10</f>
      </c>
    </row>
    <row r="13" spans="1:14" x14ac:dyDescent="0.2">
      <c r="A13" s="11" t="s">
        <v>57</v>
      </c>
      <c r="B13" s="9">
        <f>IF('Data Sheet'!B93&gt;0,B12/'Data Sheet'!B93,0)</f>
      </c>
      <c r="C13" s="9">
        <f>IF('Data Sheet'!C93&gt;0,C12/'Data Sheet'!C93,0)</f>
      </c>
      <c r="D13" s="9">
        <f>IF('Data Sheet'!D93&gt;0,D12/'Data Sheet'!D93,0)</f>
      </c>
      <c r="E13" s="9">
        <f>IF('Data Sheet'!E93&gt;0,E12/'Data Sheet'!E93,0)</f>
      </c>
      <c r="F13" s="9">
        <f>IF('Data Sheet'!F93&gt;0,F12/'Data Sheet'!F93,0)</f>
      </c>
      <c r="G13" s="9">
        <f>IF('Data Sheet'!G93&gt;0,G12/'Data Sheet'!G93,0)</f>
      </c>
      <c r="H13" s="9">
        <f>IF('Data Sheet'!H93&gt;0,H12/'Data Sheet'!H93,0)</f>
      </c>
      <c r="I13" s="9">
        <f>IF('Data Sheet'!I93&gt;0,I12/'Data Sheet'!I93,0)</f>
      </c>
      <c r="J13" s="9">
        <f>IF('Data Sheet'!J93&gt;0,J12/'Data Sheet'!J93,0)</f>
      </c>
      <c r="K13" s="9">
        <f>IF('Data Sheet'!K93&gt;0,K12/'Data Sheet'!K93,0)</f>
      </c>
      <c r="L13" s="9">
        <f>IF('Data Sheet'!$B6&gt;0,'Profit &amp; Loss'!L12/'Data Sheet'!$B6,0)</f>
      </c>
      <c r="M13" s="9">
        <f>IF('Data Sheet'!$B6&gt;0,'Profit &amp; Loss'!M12/'Data Sheet'!$B6,0)</f>
      </c>
      <c r="N13" s="9">
        <f>IF('Data Sheet'!$B6&gt;0,'Profit &amp; Loss'!N12/'Data Sheet'!$B6,0)</f>
      </c>
    </row>
    <row r="14" spans="1:14" x14ac:dyDescent="0.2">
      <c r="A14" s="6" t="s">
        <v>16</v>
      </c>
      <c r="B14" s="9" t="str">
        <f>IF(B15&gt;0,B15/B13,"")</f>
      </c>
      <c r="C14" s="9" t="str">
        <f t="shared" ref="C14:K14" si="2">IF(C15&gt;0,C15/C13,"")</f>
      </c>
      <c r="D14" s="9" t="str">
        <f t="shared" si="2"/>
      </c>
      <c r="E14" s="9" t="str">
        <f t="shared" si="2"/>
      </c>
      <c r="F14" s="9" t="str">
        <f t="shared" si="2"/>
      </c>
      <c r="G14" s="9" t="str">
        <f t="shared" si="2"/>
      </c>
      <c r="H14" s="9" t="str">
        <f t="shared" si="2"/>
      </c>
      <c r="I14" s="9" t="str">
        <f t="shared" si="2"/>
      </c>
      <c r="J14" s="9" t="str">
        <f t="shared" si="2"/>
      </c>
      <c r="K14" s="9" t="str">
        <f t="shared" si="2"/>
      </c>
      <c r="L14" s="9">
        <f t="shared" ref="L14" si="3">IF(L13&gt;0,L15/L13,0)</f>
      </c>
      <c r="M14" s="9">
        <f>M25</f>
      </c>
      <c r="N14" s="9">
        <f>N25</f>
      </c>
    </row>
    <row r="15" spans="1:14" s="8" customFormat="1" x14ac:dyDescent="0.2">
      <c r="A15" s="8" t="s">
        <v>58</v>
      </c>
      <c r="B15" s="1">
        <f>'Data Sheet'!B90</f>
      </c>
      <c r="C15" s="1">
        <f>'Data Sheet'!C90</f>
      </c>
      <c r="D15" s="1">
        <f>'Data Sheet'!D90</f>
      </c>
      <c r="E15" s="1">
        <f>'Data Sheet'!E90</f>
      </c>
      <c r="F15" s="1">
        <f>'Data Sheet'!F90</f>
      </c>
      <c r="G15" s="1">
        <f>'Data Sheet'!G90</f>
      </c>
      <c r="H15" s="1">
        <f>'Data Sheet'!H90</f>
      </c>
      <c r="I15" s="1">
        <f>'Data Sheet'!I90</f>
      </c>
      <c r="J15" s="1">
        <f>'Data Sheet'!J90</f>
      </c>
      <c r="K15" s="1">
        <f>'Data Sheet'!K90</f>
      </c>
      <c r="L15" s="1">
        <f>'Data Sheet'!B8</f>
      </c>
      <c r="M15" s="12">
        <f>M13*M14</f>
      </c>
      <c r="N15" s="13">
        <f>N13*N14</f>
      </c>
    </row>
    <row r="17" spans="1:14" s="8" customFormat="1" x14ac:dyDescent="0.2">
      <c r="A17" s="8" t="s">
        <v>15</v>
      </c>
    </row>
    <row r="18" spans="1:14" x14ac:dyDescent="0.2">
      <c r="A18" s="6" t="s">
        <v>17</v>
      </c>
      <c r="B18" s="7">
        <f>IF('Data Sheet'!B30&gt;0, 'Data Sheet'!B31/'Data Sheet'!B30, 0)</f>
      </c>
      <c r="C18" s="7">
        <f>IF('Data Sheet'!C30&gt;0, 'Data Sheet'!C31/'Data Sheet'!C30, 0)</f>
      </c>
      <c r="D18" s="7">
        <f>IF('Data Sheet'!D30&gt;0, 'Data Sheet'!D31/'Data Sheet'!D30, 0)</f>
      </c>
      <c r="E18" s="7">
        <f>IF('Data Sheet'!E30&gt;0, 'Data Sheet'!E31/'Data Sheet'!E30, 0)</f>
      </c>
      <c r="F18" s="7">
        <f>IF('Data Sheet'!F30&gt;0, 'Data Sheet'!F31/'Data Sheet'!F30, 0)</f>
      </c>
      <c r="G18" s="7">
        <f>IF('Data Sheet'!G30&gt;0, 'Data Sheet'!G31/'Data Sheet'!G30, 0)</f>
      </c>
      <c r="H18" s="7">
        <f>IF('Data Sheet'!H30&gt;0, 'Data Sheet'!H31/'Data Sheet'!H30, 0)</f>
      </c>
      <c r="I18" s="7">
        <f>IF('Data Sheet'!I30&gt;0, 'Data Sheet'!I31/'Data Sheet'!I30, 0)</f>
      </c>
      <c r="J18" s="7">
        <f>IF('Data Sheet'!J30&gt;0, 'Data Sheet'!J31/'Data Sheet'!J30, 0)</f>
      </c>
      <c r="K18" s="7">
        <f>IF('Data Sheet'!K30&gt;0, 'Data Sheet'!K31/'Data Sheet'!K30, 0)</f>
      </c>
    </row>
    <row r="19" spans="1:14" x14ac:dyDescent="0.2">
      <c r="A19" s="6" t="s">
        <v>18</v>
      </c>
      <c r="B19" s="7">
        <f t="shared" ref="B19:L19" si="4">IF(B6&gt;0,B6/B4,0)</f>
      </c>
      <c r="C19" s="7">
        <f t="shared" ref="C19:K19" si="5">IF(C6&gt;0,C6/C4,0)</f>
      </c>
      <c r="D19" s="7">
        <f t="shared" si="5"/>
      </c>
      <c r="E19" s="7">
        <f t="shared" si="5"/>
      </c>
      <c r="F19" s="7">
        <f t="shared" si="5"/>
      </c>
      <c r="G19" s="7">
        <f t="shared" si="5"/>
      </c>
      <c r="H19" s="7">
        <f t="shared" si="5"/>
      </c>
      <c r="I19" s="7">
        <f t="shared" si="5"/>
      </c>
      <c r="J19" s="7">
        <f t="shared" si="5"/>
      </c>
      <c r="K19" s="7">
        <f t="shared" si="5"/>
      </c>
      <c r="L19" s="7">
        <f t="shared" si="4"/>
      </c>
    </row>
    <row r="20" spans="1:14" x14ac:dyDescent="0.2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4" x14ac:dyDescent="0.2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4" s="2" customFormat="1" x14ac:dyDescent="0.2">
      <c r="A22" s="15"/>
      <c r="B22" s="16"/>
      <c r="C22" s="16"/>
      <c r="D22" s="16"/>
      <c r="E22" s="16"/>
      <c r="F22" s="16"/>
      <c r="G22" s="16" t="s">
        <v>19</v>
      </c>
      <c r="H22" s="16" t="s">
        <v>65</v>
      </c>
      <c r="I22" s="16" t="s">
        <v>66</v>
      </c>
      <c r="J22" s="16" t="s">
        <v>67</v>
      </c>
      <c r="K22" s="16" t="s">
        <v>68</v>
      </c>
      <c r="L22" s="17" t="s">
        <v>69</v>
      </c>
      <c r="M22" s="17" t="s">
        <v>20</v>
      </c>
      <c r="N22" s="17" t="s">
        <v>21</v>
      </c>
    </row>
    <row r="23" spans="1:14" s="8" customFormat="1" x14ac:dyDescent="0.2">
      <c r="A23" s="6"/>
      <c r="B23" s="6"/>
      <c r="C23" s="6"/>
      <c r="D23" s="6"/>
      <c r="E23" s="6"/>
      <c r="F23" s="6"/>
      <c r="G23" s="6" t="s">
        <v>22</v>
      </c>
      <c r="H23" s="7" t="str">
        <f>IF(B4=0,"",POWER($K4/B4,1/9)-1)</f>
      </c>
      <c r="I23" s="7" t="str">
        <f>IF(D4=0,"",POWER($K4/D4,1/7)-1)</f>
      </c>
      <c r="J23" s="7" t="str">
        <f>IF(F4=0,"",POWER($K4/F4,1/5)-1)</f>
      </c>
      <c r="K23" s="7" t="str">
        <f>IF(H4=0,"",POWER($K4/H4, 1/3)-1)</f>
      </c>
      <c r="L23" s="7" t="str">
        <f>IF(ISERROR(MAX(IF(J4=0,"",(K4-J4)/J4),IF(K4=0,"",(L4-K4)/K4))),"",MAX(IF(J4=0,"",(K4-J4)/J4),IF(K4=0,"",(L4-K4)/K4)))</f>
      </c>
      <c r="M23" s="22">
        <f>MAX(K23:L23)</f>
      </c>
      <c r="N23" s="22">
        <f>MIN(H23:L23)</f>
      </c>
    </row>
    <row r="24" spans="1:14" x14ac:dyDescent="0.2">
      <c r="G24" s="6" t="s">
        <v>18</v>
      </c>
      <c r="H24" s="7" t="str">
        <f>IF(SUM(B4:$K$4)=0,"",SUMPRODUCT(B19:$K$19,B4:$K$4)/SUM(B4:$K$4))</f>
      </c>
      <c r="I24" s="7" t="str">
        <f>IF(SUM(E4:$K$4)=0,"",SUMPRODUCT(E19:$K$19,E4:$K$4)/SUM(E4:$K$4))</f>
      </c>
      <c r="J24" s="7" t="str">
        <f>IF(SUM(G4:$K$4)=0,"",SUMPRODUCT(G19:$K$19,G4:$K$4)/SUM(G4:$K$4))</f>
      </c>
      <c r="K24" s="7" t="str">
        <f>IF(SUM(I4:$K$4)=0, "", SUMPRODUCT(I19:$K$19,I4:$K$4)/SUM(I4:$K$4))</f>
      </c>
      <c r="L24" s="7">
        <f>L19</f>
      </c>
      <c r="M24" s="22">
        <f>MAX(K24:L24)</f>
      </c>
      <c r="N24" s="22">
        <f>MIN(H24:L24)</f>
      </c>
    </row>
    <row r="25" spans="1:14" x14ac:dyDescent="0.2">
      <c r="G25" s="6" t="s">
        <v>23</v>
      </c>
      <c r="H25" s="9" t="str">
        <f>IF(ISERROR(AVERAGEIF(B14:$L14,"&gt;0")),"",AVERAGEIF(B14:$L14,"&gt;0"))</f>
      </c>
      <c r="I25" s="9" t="str">
        <f>IF(ISERROR(AVERAGEIF(E14:$L14,"&gt;0")),"",AVERAGEIF(E14:$L14,"&gt;0"))</f>
      </c>
      <c r="J25" s="9" t="str">
        <f>IF(ISERROR(AVERAGEIF(G14:$L14,"&gt;0")),"",AVERAGEIF(G14:$L14,"&gt;0"))</f>
      </c>
      <c r="K25" s="9" t="str">
        <f>IF(ISERROR(AVERAGEIF(I14:$L14,"&gt;0")),"",AVERAGEIF(I14:$L14,"&gt;0"))</f>
      </c>
      <c r="L25" s="9">
        <f>L14</f>
      </c>
      <c r="M25" s="1">
        <f>MAX(K25:L25)</f>
      </c>
      <c r="N25" s="1">
        <f>MIN(H25:L25)</f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0.6640625" style="6" customWidth="1"/>
    <col min="2" max="11" width="13.5" style="6" bestFit="1" customWidth="1"/>
    <col min="12" max="16384" width="8.83203125" style="6"/>
  </cols>
  <sheetData>
    <row r="1" spans="1:11" s="8" customFormat="1" x14ac:dyDescent="0.2">
      <c r="A1" s="8" t="str">
        <f>'Profit &amp; Loss'!A1</f>
      </c>
      <c r="E1" t="str">
        <f>UPDATE</f>
      </c>
      <c r="J1" s="4" t="s">
        <v>1</v>
      </c>
      <c r="K1" s="4"/>
    </row>
    <row r="3" spans="1:11" s="2" customFormat="1" x14ac:dyDescent="0.2">
      <c r="A3" s="15" t="s">
        <v>2</v>
      </c>
      <c r="B3" s="16">
        <f>'Data Sheet'!B41</f>
      </c>
      <c r="C3" s="16">
        <f>'Data Sheet'!C41</f>
      </c>
      <c r="D3" s="16">
        <f>'Data Sheet'!D41</f>
      </c>
      <c r="E3" s="16">
        <f>'Data Sheet'!E41</f>
      </c>
      <c r="F3" s="16">
        <f>'Data Sheet'!F41</f>
      </c>
      <c r="G3" s="16">
        <f>'Data Sheet'!G41</f>
      </c>
      <c r="H3" s="16">
        <f>'Data Sheet'!H41</f>
      </c>
      <c r="I3" s="16">
        <f>'Data Sheet'!I41</f>
      </c>
      <c r="J3" s="16">
        <f>'Data Sheet'!J41</f>
      </c>
      <c r="K3" s="16">
        <f>'Data Sheet'!K41</f>
      </c>
    </row>
    <row r="4" spans="1:11" s="8" customFormat="1" x14ac:dyDescent="0.2">
      <c r="A4" s="8" t="s">
        <v>6</v>
      </c>
      <c r="B4" s="1">
        <f>'Data Sheet'!B42</f>
      </c>
      <c r="C4" s="1">
        <f>'Data Sheet'!C42</f>
      </c>
      <c r="D4" s="1">
        <f>'Data Sheet'!D42</f>
      </c>
      <c r="E4" s="1">
        <f>'Data Sheet'!E42</f>
      </c>
      <c r="F4" s="1">
        <f>'Data Sheet'!F42</f>
      </c>
      <c r="G4" s="1">
        <f>'Data Sheet'!G42</f>
      </c>
      <c r="H4" s="1">
        <f>'Data Sheet'!H42</f>
      </c>
      <c r="I4" s="1">
        <f>'Data Sheet'!I42</f>
      </c>
      <c r="J4" s="1">
        <f>'Data Sheet'!J42</f>
      </c>
      <c r="K4" s="1">
        <f>'Data Sheet'!K42</f>
      </c>
    </row>
    <row r="5" spans="1:11" x14ac:dyDescent="0.2">
      <c r="A5" s="6" t="s">
        <v>7</v>
      </c>
      <c r="B5" s="9">
        <f>'Data Sheet'!B43</f>
      </c>
      <c r="C5" s="9">
        <f>'Data Sheet'!C43</f>
      </c>
      <c r="D5" s="9">
        <f>'Data Sheet'!D43</f>
      </c>
      <c r="E5" s="9">
        <f>'Data Sheet'!E43</f>
      </c>
      <c r="F5" s="9">
        <f>'Data Sheet'!F43</f>
      </c>
      <c r="G5" s="9">
        <f>'Data Sheet'!G43</f>
      </c>
      <c r="H5" s="9">
        <f>'Data Sheet'!H43</f>
      </c>
      <c r="I5" s="9">
        <f>'Data Sheet'!I43</f>
      </c>
      <c r="J5" s="9">
        <f>'Data Sheet'!J43</f>
      </c>
      <c r="K5" s="9">
        <f>'Data Sheet'!K43</f>
      </c>
    </row>
    <row r="6" spans="1:11" s="8" customFormat="1" x14ac:dyDescent="0.2">
      <c r="A6" s="8" t="s">
        <v>8</v>
      </c>
      <c r="B6" s="1">
        <f>'Data Sheet'!B50</f>
      </c>
      <c r="C6" s="1">
        <f>'Data Sheet'!C50</f>
      </c>
      <c r="D6" s="1">
        <f>'Data Sheet'!D50</f>
      </c>
      <c r="E6" s="1">
        <f>'Data Sheet'!E50</f>
      </c>
      <c r="F6" s="1">
        <f>'Data Sheet'!F50</f>
      </c>
      <c r="G6" s="1">
        <f>'Data Sheet'!G50</f>
      </c>
      <c r="H6" s="1">
        <f>'Data Sheet'!H50</f>
      </c>
      <c r="I6" s="1">
        <f>'Data Sheet'!I50</f>
      </c>
      <c r="J6" s="1">
        <f>'Data Sheet'!J50</f>
      </c>
      <c r="K6" s="1">
        <f>'Data Sheet'!K50</f>
      </c>
    </row>
    <row r="7" spans="1:11" x14ac:dyDescent="0.2">
      <c r="A7" s="6" t="s">
        <v>9</v>
      </c>
      <c r="B7" s="9">
        <f>'Data Sheet'!B44</f>
      </c>
      <c r="C7" s="9">
        <f>'Data Sheet'!C44</f>
      </c>
      <c r="D7" s="9">
        <f>'Data Sheet'!D44</f>
      </c>
      <c r="E7" s="9">
        <f>'Data Sheet'!E44</f>
      </c>
      <c r="F7" s="9">
        <f>'Data Sheet'!F44</f>
      </c>
      <c r="G7" s="9">
        <f>'Data Sheet'!G44</f>
      </c>
      <c r="H7" s="9">
        <f>'Data Sheet'!H44</f>
      </c>
      <c r="I7" s="9">
        <f>'Data Sheet'!I44</f>
      </c>
      <c r="J7" s="9">
        <f>'Data Sheet'!J44</f>
      </c>
      <c r="K7" s="9">
        <f>'Data Sheet'!K44</f>
      </c>
    </row>
    <row r="8" spans="1:11" x14ac:dyDescent="0.2">
      <c r="A8" s="6" t="s">
        <v>10</v>
      </c>
      <c r="B8" s="9">
        <f>'Data Sheet'!B45</f>
      </c>
      <c r="C8" s="9">
        <f>'Data Sheet'!C45</f>
      </c>
      <c r="D8" s="9">
        <f>'Data Sheet'!D45</f>
      </c>
      <c r="E8" s="9">
        <f>'Data Sheet'!E45</f>
      </c>
      <c r="F8" s="9">
        <f>'Data Sheet'!F45</f>
      </c>
      <c r="G8" s="9">
        <f>'Data Sheet'!G45</f>
      </c>
      <c r="H8" s="9">
        <f>'Data Sheet'!H45</f>
      </c>
      <c r="I8" s="9">
        <f>'Data Sheet'!I45</f>
      </c>
      <c r="J8" s="9">
        <f>'Data Sheet'!J45</f>
      </c>
      <c r="K8" s="9">
        <f>'Data Sheet'!K45</f>
      </c>
    </row>
    <row r="9" spans="1:11" x14ac:dyDescent="0.2">
      <c r="A9" s="6" t="s">
        <v>11</v>
      </c>
      <c r="B9" s="9">
        <f>'Data Sheet'!B46</f>
      </c>
      <c r="C9" s="9">
        <f>'Data Sheet'!C46</f>
      </c>
      <c r="D9" s="9">
        <f>'Data Sheet'!D46</f>
      </c>
      <c r="E9" s="9">
        <f>'Data Sheet'!E46</f>
      </c>
      <c r="F9" s="9">
        <f>'Data Sheet'!F46</f>
      </c>
      <c r="G9" s="9">
        <f>'Data Sheet'!G46</f>
      </c>
      <c r="H9" s="9">
        <f>'Data Sheet'!H46</f>
      </c>
      <c r="I9" s="9">
        <f>'Data Sheet'!I46</f>
      </c>
      <c r="J9" s="9">
        <f>'Data Sheet'!J46</f>
      </c>
      <c r="K9" s="9">
        <f>'Data Sheet'!K46</f>
      </c>
    </row>
    <row r="10" spans="1:11" x14ac:dyDescent="0.2">
      <c r="A10" s="6" t="s">
        <v>12</v>
      </c>
      <c r="B10" s="9">
        <f>'Data Sheet'!B47</f>
      </c>
      <c r="C10" s="9">
        <f>'Data Sheet'!C47</f>
      </c>
      <c r="D10" s="9">
        <f>'Data Sheet'!D47</f>
      </c>
      <c r="E10" s="9">
        <f>'Data Sheet'!E47</f>
      </c>
      <c r="F10" s="9">
        <f>'Data Sheet'!F47</f>
      </c>
      <c r="G10" s="9">
        <f>'Data Sheet'!G47</f>
      </c>
      <c r="H10" s="9">
        <f>'Data Sheet'!H47</f>
      </c>
      <c r="I10" s="9">
        <f>'Data Sheet'!I47</f>
      </c>
      <c r="J10" s="9">
        <f>'Data Sheet'!J47</f>
      </c>
      <c r="K10" s="9">
        <f>'Data Sheet'!K47</f>
      </c>
    </row>
    <row r="11" spans="1:11" x14ac:dyDescent="0.2">
      <c r="A11" s="6" t="s">
        <v>13</v>
      </c>
      <c r="B11" s="9">
        <f>'Data Sheet'!B48</f>
      </c>
      <c r="C11" s="9">
        <f>'Data Sheet'!C48</f>
      </c>
      <c r="D11" s="9">
        <f>'Data Sheet'!D48</f>
      </c>
      <c r="E11" s="9">
        <f>'Data Sheet'!E48</f>
      </c>
      <c r="F11" s="9">
        <f>'Data Sheet'!F48</f>
      </c>
      <c r="G11" s="9">
        <f>'Data Sheet'!G48</f>
      </c>
      <c r="H11" s="9">
        <f>'Data Sheet'!H48</f>
      </c>
      <c r="I11" s="9">
        <f>'Data Sheet'!I48</f>
      </c>
      <c r="J11" s="9">
        <f>'Data Sheet'!J48</f>
      </c>
      <c r="K11" s="9">
        <f>'Data Sheet'!K48</f>
      </c>
    </row>
    <row r="12" spans="1:11" s="8" customFormat="1" x14ac:dyDescent="0.2">
      <c r="A12" s="8" t="s">
        <v>14</v>
      </c>
      <c r="B12" s="1">
        <f>'Data Sheet'!B49</f>
      </c>
      <c r="C12" s="1">
        <f>'Data Sheet'!C49</f>
      </c>
      <c r="D12" s="1">
        <f>'Data Sheet'!D49</f>
      </c>
      <c r="E12" s="1">
        <f>'Data Sheet'!E49</f>
      </c>
      <c r="F12" s="1">
        <f>'Data Sheet'!F49</f>
      </c>
      <c r="G12" s="1">
        <f>'Data Sheet'!G49</f>
      </c>
      <c r="H12" s="1">
        <f>'Data Sheet'!H49</f>
      </c>
      <c r="I12" s="1">
        <f>'Data Sheet'!I49</f>
      </c>
      <c r="J12" s="1">
        <f>'Data Sheet'!J49</f>
      </c>
      <c r="K12" s="1">
        <f>'Data Sheet'!K49</f>
      </c>
    </row>
    <row r="14" spans="1:11" s="8" customFormat="1" x14ac:dyDescent="0.2">
      <c r="A14" s="2" t="s">
        <v>18</v>
      </c>
      <c r="B14" s="14" t="str">
        <f>IF(B4&gt;0,B6/B4,"")</f>
      </c>
      <c r="C14" s="14" t="str">
        <f t="shared" ref="C14:K14" si="0">IF(C4&gt;0,C6/C4,"")</f>
      </c>
      <c r="D14" s="14" t="str">
        <f t="shared" si="0"/>
      </c>
      <c r="E14" s="14" t="str">
        <f t="shared" si="0"/>
      </c>
      <c r="F14" s="14" t="str">
        <f t="shared" si="0"/>
      </c>
      <c r="G14" s="14" t="str">
        <f t="shared" si="0"/>
      </c>
      <c r="H14" s="14" t="str">
        <f t="shared" si="0"/>
      </c>
      <c r="I14" s="14" t="str">
        <f t="shared" si="0"/>
      </c>
      <c r="J14" s="14" t="str">
        <f t="shared" si="0"/>
      </c>
      <c r="K14" s="14" t="str">
        <f t="shared" si="0"/>
      </c>
    </row>
    <row r="22" s="30" customFormat="1" x14ac:dyDescent="0.2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5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10" defaultColWidth="8.83203125" defaultRowHeight="15" x14ac:dyDescent="0.2"/>
  <cols>
    <col min="1" max="1" width="22.83203125" style="11" bestFit="1" customWidth="1"/>
    <col min="2" max="2" width="13.5" style="11" customWidth="1"/>
    <col min="3" max="11" width="15.5" style="11" customWidth="1"/>
    <col min="12" max="16384" width="8.83203125" style="11"/>
  </cols>
  <sheetData>
    <row r="1" spans="1:11" s="8" customFormat="1" x14ac:dyDescent="0.2">
      <c r="A1" s="8" t="str">
        <f>'Profit &amp; Loss'!A1</f>
      </c>
      <c r="E1" t="str">
        <f>UPDATE</f>
      </c>
      <c r="G1"/>
      <c r="J1" s="4" t="s">
        <v>1</v>
      </c>
      <c r="K1" s="4"/>
    </row>
    <row r="2" spans="1:11" x14ac:dyDescent="0.2">
      <c r="G2" s="8"/>
      <c r="H2" s="8"/>
    </row>
    <row r="3" spans="1:11" s="18" customFormat="1" x14ac:dyDescent="0.2">
      <c r="A3" s="15" t="s">
        <v>2</v>
      </c>
      <c r="B3" s="16">
        <f>'Data Sheet'!B56</f>
      </c>
      <c r="C3" s="16">
        <f>'Data Sheet'!C56</f>
      </c>
      <c r="D3" s="16">
        <f>'Data Sheet'!D56</f>
      </c>
      <c r="E3" s="16">
        <f>'Data Sheet'!E56</f>
      </c>
      <c r="F3" s="16">
        <f>'Data Sheet'!F56</f>
      </c>
      <c r="G3" s="16">
        <f>'Data Sheet'!G56</f>
      </c>
      <c r="H3" s="16">
        <f>'Data Sheet'!H56</f>
      </c>
      <c r="I3" s="16">
        <f>'Data Sheet'!I56</f>
      </c>
      <c r="J3" s="16">
        <f>'Data Sheet'!J56</f>
      </c>
      <c r="K3" s="16">
        <f>'Data Sheet'!K56</f>
      </c>
    </row>
    <row r="4" spans="1:11" x14ac:dyDescent="0.2">
      <c r="A4" s="6" t="s">
        <v>24</v>
      </c>
      <c r="B4" s="19">
        <f>'Data Sheet'!B57</f>
      </c>
      <c r="C4" s="19">
        <f>'Data Sheet'!C57</f>
      </c>
      <c r="D4" s="19">
        <f>'Data Sheet'!D57</f>
      </c>
      <c r="E4" s="19">
        <f>'Data Sheet'!E57</f>
      </c>
      <c r="F4" s="19">
        <f>'Data Sheet'!F57</f>
      </c>
      <c r="G4" s="19">
        <f>'Data Sheet'!G57</f>
      </c>
      <c r="H4" s="19">
        <f>'Data Sheet'!H57</f>
      </c>
      <c r="I4" s="19">
        <f>'Data Sheet'!I57</f>
      </c>
      <c r="J4" s="19">
        <f>'Data Sheet'!J57</f>
      </c>
      <c r="K4" s="19">
        <f>'Data Sheet'!K57</f>
      </c>
    </row>
    <row r="5" spans="1:11" s="6" customFormat="1" x14ac:dyDescent="0.2">
      <c r="A5" s="6" t="s">
        <v>25</v>
      </c>
      <c r="B5" s="19">
        <f>'Data Sheet'!B58</f>
      </c>
      <c r="C5" s="19">
        <f>'Data Sheet'!C58</f>
      </c>
      <c r="D5" s="19">
        <f>'Data Sheet'!D58</f>
      </c>
      <c r="E5" s="19">
        <f>'Data Sheet'!E58</f>
      </c>
      <c r="F5" s="19">
        <f>'Data Sheet'!F58</f>
      </c>
      <c r="G5" s="19">
        <f>'Data Sheet'!G58</f>
      </c>
      <c r="H5" s="19">
        <f>'Data Sheet'!H58</f>
      </c>
      <c r="I5" s="19">
        <f>'Data Sheet'!I58</f>
      </c>
      <c r="J5" s="19">
        <f>'Data Sheet'!J58</f>
      </c>
      <c r="K5" s="19">
        <f>'Data Sheet'!K58</f>
      </c>
    </row>
    <row r="6" spans="1:11" x14ac:dyDescent="0.2">
      <c r="A6" s="11" t="s">
        <v>71</v>
      </c>
      <c r="B6" s="19">
        <f>'Data Sheet'!B59</f>
      </c>
      <c r="C6" s="19">
        <f>'Data Sheet'!C59</f>
      </c>
      <c r="D6" s="19">
        <f>'Data Sheet'!D59</f>
      </c>
      <c r="E6" s="19">
        <f>'Data Sheet'!E59</f>
      </c>
      <c r="F6" s="19">
        <f>'Data Sheet'!F59</f>
      </c>
      <c r="G6" s="19">
        <f>'Data Sheet'!G59</f>
      </c>
      <c r="H6" s="19">
        <f>'Data Sheet'!H59</f>
      </c>
      <c r="I6" s="19">
        <f>'Data Sheet'!I59</f>
      </c>
      <c r="J6" s="19">
        <f>'Data Sheet'!J59</f>
      </c>
      <c r="K6" s="19">
        <f>'Data Sheet'!K59</f>
      </c>
    </row>
    <row r="7" spans="1:11" s="6" customFormat="1" x14ac:dyDescent="0.2">
      <c r="A7" s="11" t="s">
        <v>72</v>
      </c>
      <c r="B7" s="19">
        <f>'Data Sheet'!B60</f>
      </c>
      <c r="C7" s="19">
        <f>'Data Sheet'!C60</f>
      </c>
      <c r="D7" s="19">
        <f>'Data Sheet'!D60</f>
      </c>
      <c r="E7" s="19">
        <f>'Data Sheet'!E60</f>
      </c>
      <c r="F7" s="19">
        <f>'Data Sheet'!F60</f>
      </c>
      <c r="G7" s="19">
        <f>'Data Sheet'!G60</f>
      </c>
      <c r="H7" s="19">
        <f>'Data Sheet'!H60</f>
      </c>
      <c r="I7" s="19">
        <f>'Data Sheet'!I60</f>
      </c>
      <c r="J7" s="19">
        <f>'Data Sheet'!J60</f>
      </c>
      <c r="K7" s="19">
        <f>'Data Sheet'!K60</f>
      </c>
    </row>
    <row r="8" spans="1:11" s="8" customFormat="1" x14ac:dyDescent="0.2">
      <c r="A8" s="8" t="s">
        <v>26</v>
      </c>
      <c r="B8" s="20">
        <f>'Data Sheet'!B61</f>
      </c>
      <c r="C8" s="20">
        <f>'Data Sheet'!C61</f>
      </c>
      <c r="D8" s="20">
        <f>'Data Sheet'!D61</f>
      </c>
      <c r="E8" s="20">
        <f>'Data Sheet'!E61</f>
      </c>
      <c r="F8" s="20">
        <f>'Data Sheet'!F61</f>
      </c>
      <c r="G8" s="20">
        <f>'Data Sheet'!G61</f>
      </c>
      <c r="H8" s="20">
        <f>'Data Sheet'!H61</f>
      </c>
      <c r="I8" s="20">
        <f>'Data Sheet'!I61</f>
      </c>
      <c r="J8" s="20">
        <f>'Data Sheet'!J61</f>
      </c>
      <c r="K8" s="20">
        <f>'Data Sheet'!K61</f>
      </c>
    </row>
    <row r="9" spans="1:11" s="8" customFormat="1" x14ac:dyDescent="0.2"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2">
      <c r="A10" s="6" t="s">
        <v>27</v>
      </c>
      <c r="B10" s="19">
        <f>'Data Sheet'!B62</f>
      </c>
      <c r="C10" s="19">
        <f>'Data Sheet'!C62</f>
      </c>
      <c r="D10" s="19">
        <f>'Data Sheet'!D62</f>
      </c>
      <c r="E10" s="19">
        <f>'Data Sheet'!E62</f>
      </c>
      <c r="F10" s="19">
        <f>'Data Sheet'!F62</f>
      </c>
      <c r="G10" s="19">
        <f>'Data Sheet'!G62</f>
      </c>
      <c r="H10" s="19">
        <f>'Data Sheet'!H62</f>
      </c>
      <c r="I10" s="19">
        <f>'Data Sheet'!I62</f>
      </c>
      <c r="J10" s="19">
        <f>'Data Sheet'!J62</f>
      </c>
      <c r="K10" s="19">
        <f>'Data Sheet'!K62</f>
      </c>
    </row>
    <row r="11" spans="1:11" x14ac:dyDescent="0.2">
      <c r="A11" s="6" t="s">
        <v>28</v>
      </c>
      <c r="B11" s="19">
        <f>'Data Sheet'!B63</f>
      </c>
      <c r="C11" s="19">
        <f>'Data Sheet'!C63</f>
      </c>
      <c r="D11" s="19">
        <f>'Data Sheet'!D63</f>
      </c>
      <c r="E11" s="19">
        <f>'Data Sheet'!E63</f>
      </c>
      <c r="F11" s="19">
        <f>'Data Sheet'!F63</f>
      </c>
      <c r="G11" s="19">
        <f>'Data Sheet'!G63</f>
      </c>
      <c r="H11" s="19">
        <f>'Data Sheet'!H63</f>
      </c>
      <c r="I11" s="19">
        <f>'Data Sheet'!I63</f>
      </c>
      <c r="J11" s="19">
        <f>'Data Sheet'!J63</f>
      </c>
      <c r="K11" s="19">
        <f>'Data Sheet'!K63</f>
      </c>
    </row>
    <row r="12" spans="1:11" x14ac:dyDescent="0.2">
      <c r="A12" s="6" t="s">
        <v>29</v>
      </c>
      <c r="B12" s="19">
        <f>'Data Sheet'!B64</f>
      </c>
      <c r="C12" s="19">
        <f>'Data Sheet'!C64</f>
      </c>
      <c r="D12" s="19">
        <f>'Data Sheet'!D64</f>
      </c>
      <c r="E12" s="19">
        <f>'Data Sheet'!E64</f>
      </c>
      <c r="F12" s="19">
        <f>'Data Sheet'!F64</f>
      </c>
      <c r="G12" s="19">
        <f>'Data Sheet'!G64</f>
      </c>
      <c r="H12" s="19">
        <f>'Data Sheet'!H64</f>
      </c>
      <c r="I12" s="19">
        <f>'Data Sheet'!I64</f>
      </c>
      <c r="J12" s="19">
        <f>'Data Sheet'!J64</f>
      </c>
      <c r="K12" s="19">
        <f>'Data Sheet'!K64</f>
      </c>
    </row>
    <row r="13" spans="1:11" x14ac:dyDescent="0.2">
      <c r="A13" s="11" t="s">
        <v>73</v>
      </c>
      <c r="B13" s="19">
        <f>'Data Sheet'!B65</f>
      </c>
      <c r="C13" s="19">
        <f>'Data Sheet'!C65</f>
      </c>
      <c r="D13" s="19">
        <f>'Data Sheet'!D65</f>
      </c>
      <c r="E13" s="19">
        <f>'Data Sheet'!E65</f>
      </c>
      <c r="F13" s="19">
        <f>'Data Sheet'!F65</f>
      </c>
      <c r="G13" s="19">
        <f>'Data Sheet'!G65</f>
      </c>
      <c r="H13" s="19">
        <f>'Data Sheet'!H65</f>
      </c>
      <c r="I13" s="19">
        <f>'Data Sheet'!I65</f>
      </c>
      <c r="J13" s="19">
        <f>'Data Sheet'!J65</f>
      </c>
      <c r="K13" s="19">
        <f>'Data Sheet'!K65</f>
      </c>
    </row>
    <row r="14" spans="1:11" s="8" customFormat="1" x14ac:dyDescent="0.2">
      <c r="A14" s="8" t="s">
        <v>26</v>
      </c>
      <c r="B14" s="19">
        <f>'Data Sheet'!B66</f>
      </c>
      <c r="C14" s="19">
        <f>'Data Sheet'!C66</f>
      </c>
      <c r="D14" s="19">
        <f>'Data Sheet'!D66</f>
      </c>
      <c r="E14" s="19">
        <f>'Data Sheet'!E66</f>
      </c>
      <c r="F14" s="19">
        <f>'Data Sheet'!F66</f>
      </c>
      <c r="G14" s="19">
        <f>'Data Sheet'!G66</f>
      </c>
      <c r="H14" s="19">
        <f>'Data Sheet'!H66</f>
      </c>
      <c r="I14" s="19">
        <f>'Data Sheet'!I66</f>
      </c>
      <c r="J14" s="19">
        <f>'Data Sheet'!J66</f>
      </c>
      <c r="K14" s="19">
        <f>'Data Sheet'!K66</f>
      </c>
    </row>
    <row r="15" spans="1:11" x14ac:dyDescent="0.2">
      <c r="A15" s="6"/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spans="1:11" x14ac:dyDescent="0.2">
      <c r="A16" s="29" t="s">
        <v>30</v>
      </c>
      <c r="B16" s="21">
        <f>B13-B7</f>
      </c>
      <c r="C16" s="21">
        <f t="shared" ref="C16:K16" si="0">C13-C7</f>
      </c>
      <c r="D16" s="21">
        <f t="shared" si="0"/>
      </c>
      <c r="E16" s="21">
        <f t="shared" si="0"/>
      </c>
      <c r="F16" s="21">
        <f t="shared" si="0"/>
      </c>
      <c r="G16" s="21">
        <f t="shared" si="0"/>
      </c>
      <c r="H16" s="21">
        <f t="shared" si="0"/>
      </c>
      <c r="I16" s="21">
        <f t="shared" si="0"/>
      </c>
      <c r="J16" s="21">
        <f t="shared" si="0"/>
      </c>
      <c r="K16" s="21">
        <f t="shared" si="0"/>
      </c>
    </row>
    <row r="17" spans="1:11" x14ac:dyDescent="0.2">
      <c r="A17" s="11" t="s">
        <v>44</v>
      </c>
      <c r="B17" s="21">
        <f>'Data Sheet'!B67</f>
      </c>
      <c r="C17" s="21">
        <f>'Data Sheet'!C67</f>
      </c>
      <c r="D17" s="21">
        <f>'Data Sheet'!D67</f>
      </c>
      <c r="E17" s="21">
        <f>'Data Sheet'!E67</f>
      </c>
      <c r="F17" s="21">
        <f>'Data Sheet'!F67</f>
      </c>
      <c r="G17" s="21">
        <f>'Data Sheet'!G67</f>
      </c>
      <c r="H17" s="21">
        <f>'Data Sheet'!H67</f>
      </c>
      <c r="I17" s="21">
        <f>'Data Sheet'!I67</f>
      </c>
      <c r="J17" s="21">
        <f>'Data Sheet'!J67</f>
      </c>
      <c r="K17" s="21">
        <f>'Data Sheet'!K67</f>
      </c>
    </row>
    <row r="18" spans="1:11" x14ac:dyDescent="0.2">
      <c r="A18" s="11" t="s">
        <v>45</v>
      </c>
      <c r="B18" s="21">
        <f>'Data Sheet'!B68</f>
      </c>
      <c r="C18" s="21">
        <f>'Data Sheet'!C68</f>
      </c>
      <c r="D18" s="21">
        <f>'Data Sheet'!D68</f>
      </c>
      <c r="E18" s="21">
        <f>'Data Sheet'!E68</f>
      </c>
      <c r="F18" s="21">
        <f>'Data Sheet'!F68</f>
      </c>
      <c r="G18" s="21">
        <f>'Data Sheet'!G68</f>
      </c>
      <c r="H18" s="21">
        <f>'Data Sheet'!H68</f>
      </c>
      <c r="I18" s="21">
        <f>'Data Sheet'!I68</f>
      </c>
      <c r="J18" s="21">
        <f>'Data Sheet'!J68</f>
      </c>
      <c r="K18" s="21">
        <f>'Data Sheet'!K68</f>
      </c>
    </row>
    <row r="20" spans="1:11" x14ac:dyDescent="0.2">
      <c r="A20" s="11" t="s">
        <v>46</v>
      </c>
      <c r="B20" s="5">
        <f>IF('Profit &amp; Loss'!B4&gt;0,'Balance Sheet'!B17/('Profit &amp; Loss'!B4/365),0)</f>
      </c>
      <c r="C20" s="5">
        <f>IF('Profit &amp; Loss'!C4&gt;0,'Balance Sheet'!C17/('Profit &amp; Loss'!C4/365),0)</f>
      </c>
      <c r="D20" s="5">
        <f>IF('Profit &amp; Loss'!D4&gt;0,'Balance Sheet'!D17/('Profit &amp; Loss'!D4/365),0)</f>
      </c>
      <c r="E20" s="5">
        <f>IF('Profit &amp; Loss'!E4&gt;0,'Balance Sheet'!E17/('Profit &amp; Loss'!E4/365),0)</f>
      </c>
      <c r="F20" s="5">
        <f>IF('Profit &amp; Loss'!F4&gt;0,'Balance Sheet'!F17/('Profit &amp; Loss'!F4/365),0)</f>
      </c>
      <c r="G20" s="5">
        <f>IF('Profit &amp; Loss'!G4&gt;0,'Balance Sheet'!G17/('Profit &amp; Loss'!G4/365),0)</f>
      </c>
      <c r="H20" s="5">
        <f>IF('Profit &amp; Loss'!H4&gt;0,'Balance Sheet'!H17/('Profit &amp; Loss'!H4/365),0)</f>
      </c>
      <c r="I20" s="5">
        <f>IF('Profit &amp; Loss'!I4&gt;0,'Balance Sheet'!I17/('Profit &amp; Loss'!I4/365),0)</f>
      </c>
      <c r="J20" s="5">
        <f>IF('Profit &amp; Loss'!J4&gt;0,'Balance Sheet'!J17/('Profit &amp; Loss'!J4/365),0)</f>
      </c>
      <c r="K20" s="5">
        <f>IF('Profit &amp; Loss'!K4&gt;0,'Balance Sheet'!K17/('Profit &amp; Loss'!K4/365),0)</f>
      </c>
    </row>
    <row r="21" spans="1:11" x14ac:dyDescent="0.2">
      <c r="A21" s="11" t="s">
        <v>47</v>
      </c>
      <c r="B21" s="5">
        <f>IF('Balance Sheet'!B18&gt;0,'Profit &amp; Loss'!B4/'Balance Sheet'!B18,0)</f>
      </c>
      <c r="C21" s="5">
        <f>IF('Balance Sheet'!C18&gt;0,'Profit &amp; Loss'!C4/'Balance Sheet'!C18,0)</f>
      </c>
      <c r="D21" s="5">
        <f>IF('Balance Sheet'!D18&gt;0,'Profit &amp; Loss'!D4/'Balance Sheet'!D18,0)</f>
      </c>
      <c r="E21" s="5">
        <f>IF('Balance Sheet'!E18&gt;0,'Profit &amp; Loss'!E4/'Balance Sheet'!E18,0)</f>
      </c>
      <c r="F21" s="5">
        <f>IF('Balance Sheet'!F18&gt;0,'Profit &amp; Loss'!F4/'Balance Sheet'!F18,0)</f>
      </c>
      <c r="G21" s="5">
        <f>IF('Balance Sheet'!G18&gt;0,'Profit &amp; Loss'!G4/'Balance Sheet'!G18,0)</f>
      </c>
      <c r="H21" s="5">
        <f>IF('Balance Sheet'!H18&gt;0,'Profit &amp; Loss'!H4/'Balance Sheet'!H18,0)</f>
      </c>
      <c r="I21" s="5">
        <f>IF('Balance Sheet'!I18&gt;0,'Profit &amp; Loss'!I4/'Balance Sheet'!I18,0)</f>
      </c>
      <c r="J21" s="5">
        <f>IF('Balance Sheet'!J18&gt;0,'Profit &amp; Loss'!J4/'Balance Sheet'!J18,0)</f>
      </c>
      <c r="K21" s="5">
        <f>IF('Balance Sheet'!K18&gt;0,'Profit &amp; Loss'!K4/'Balance Sheet'!K18,0)</f>
      </c>
    </row>
    <row r="23" spans="1:11" s="8" customFormat="1" x14ac:dyDescent="0.2">
      <c r="A23" s="8" t="s">
        <v>59</v>
      </c>
      <c r="B23" s="14" t="str">
        <f>IF(SUM('Balance Sheet'!B4:B5)&gt;0,'Profit &amp; Loss'!B12/SUM('Balance Sheet'!B4:B5),"")</f>
      </c>
      <c r="C23" s="14" t="str">
        <f>IF(SUM('Balance Sheet'!C4:C5)&gt;0,'Profit &amp; Loss'!C12/SUM('Balance Sheet'!C4:C5),"")</f>
      </c>
      <c r="D23" s="14" t="str">
        <f>IF(SUM('Balance Sheet'!D4:D5)&gt;0,'Profit &amp; Loss'!D12/SUM('Balance Sheet'!D4:D5),"")</f>
      </c>
      <c r="E23" s="14" t="str">
        <f>IF(SUM('Balance Sheet'!E4:E5)&gt;0,'Profit &amp; Loss'!E12/SUM('Balance Sheet'!E4:E5),"")</f>
      </c>
      <c r="F23" s="14" t="str">
        <f>IF(SUM('Balance Sheet'!F4:F5)&gt;0,'Profit &amp; Loss'!F12/SUM('Balance Sheet'!F4:F5),"")</f>
      </c>
      <c r="G23" s="14" t="str">
        <f>IF(SUM('Balance Sheet'!G4:G5)&gt;0,'Profit &amp; Loss'!G12/SUM('Balance Sheet'!G4:G5),"")</f>
      </c>
      <c r="H23" s="14" t="str">
        <f>IF(SUM('Balance Sheet'!H4:H5)&gt;0,'Profit &amp; Loss'!H12/SUM('Balance Sheet'!H4:H5),"")</f>
      </c>
      <c r="I23" s="14" t="str">
        <f>IF(SUM('Balance Sheet'!I4:I5)&gt;0,'Profit &amp; Loss'!I12/SUM('Balance Sheet'!I4:I5),"")</f>
      </c>
      <c r="J23" s="14" t="str">
        <f>IF(SUM('Balance Sheet'!J4:J5)&gt;0,'Profit &amp; Loss'!J12/SUM('Balance Sheet'!J4:J5),"")</f>
      </c>
      <c r="K23" s="14" t="str">
        <f>IF(SUM('Balance Sheet'!K4:K5)&gt;0,'Profit &amp; Loss'!K12/SUM('Balance Sheet'!K4:K5),"")</f>
      </c>
    </row>
    <row r="24" spans="1:11" s="8" customFormat="1" x14ac:dyDescent="0.2">
      <c r="A24" s="8" t="s">
        <v>60</v>
      </c>
      <c r="B24" s="14"/>
      <c r="C24" s="14" t="str">
        <f>IF((B4+B5+B6+C4+C5+C6)&gt;0,('Profit &amp; Loss'!C10+'Profit &amp; Loss'!C9)*2/(B4+B5+B6+C4+C5+C6),"")</f>
      </c>
      <c r="D24" s="14" t="str">
        <f>IF((C4+C5+C6+D4+D5+D6)&gt;0,('Profit &amp; Loss'!D10+'Profit &amp; Loss'!D9)*2/(C4+C5+C6+D4+D5+D6),"")</f>
      </c>
      <c r="E24" s="14" t="str">
        <f>IF((D4+D5+D6+E4+E5+E6)&gt;0,('Profit &amp; Loss'!E10+'Profit &amp; Loss'!E9)*2/(D4+D5+D6+E4+E5+E6),"")</f>
      </c>
      <c r="F24" s="14" t="str">
        <f>IF((E4+E5+E6+F4+F5+F6)&gt;0,('Profit &amp; Loss'!F10+'Profit &amp; Loss'!F9)*2/(E4+E5+E6+F4+F5+F6),"")</f>
      </c>
      <c r="G24" s="14" t="str">
        <f>IF((F4+F5+F6+G4+G5+G6)&gt;0,('Profit &amp; Loss'!G10+'Profit &amp; Loss'!G9)*2/(F4+F5+F6+G4+G5+G6),"")</f>
      </c>
      <c r="H24" s="14" t="str">
        <f>IF((G4+G5+G6+H4+H5+H6)&gt;0,('Profit &amp; Loss'!H10+'Profit &amp; Loss'!H9)*2/(G4+G5+G6+H4+H5+H6),"")</f>
      </c>
      <c r="I24" s="14" t="str">
        <f>IF((H4+H5+H6+I4+I5+I6)&gt;0,('Profit &amp; Loss'!I10+'Profit &amp; Loss'!I9)*2/(H4+H5+H6+I4+I5+I6),"")</f>
      </c>
      <c r="J24" s="14" t="str">
        <f>IF((I4+I5+I6+J4+J5+J6)&gt;0,('Profit &amp; Loss'!J10+'Profit &amp; Loss'!J9)*2/(I4+I5+I6+J4+J5+J6),"")</f>
      </c>
      <c r="K24" s="14" t="str">
        <f>IF((J4+J5+J6+K4+K5+K6)&gt;0,('Profit &amp; Loss'!K10+'Profit &amp; Loss'!K9)*2/(J4+J5+J6+K4+K5+K6),"")</f>
      </c>
    </row>
    <row r="25" spans="1:11" s="18" customFormat="1" x14ac:dyDescent="0.2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6.83203125" style="6" bestFit="1" customWidth="1"/>
    <col min="2" max="6" width="13.5" style="6" customWidth="1"/>
    <col min="7" max="11" width="13.5" style="6" bestFit="1" customWidth="1"/>
    <col min="12" max="16384" width="8.83203125" style="6"/>
  </cols>
  <sheetData>
    <row r="1" spans="1:11" s="8" customFormat="1" x14ac:dyDescent="0.2">
      <c r="A1" s="8" t="str">
        <f>'Balance Sheet'!A1</f>
      </c>
      <c r="E1" t="str">
        <f>UPDATE</f>
      </c>
      <c r="F1"/>
      <c r="J1" s="4" t="s">
        <v>1</v>
      </c>
      <c r="K1" s="4"/>
    </row>
    <row r="3" spans="1:11" s="2" customFormat="1" x14ac:dyDescent="0.2">
      <c r="A3" s="15" t="s">
        <v>2</v>
      </c>
      <c r="B3" s="16">
        <f>'Data Sheet'!B81</f>
      </c>
      <c r="C3" s="16">
        <f>'Data Sheet'!C81</f>
      </c>
      <c r="D3" s="16">
        <f>'Data Sheet'!D81</f>
      </c>
      <c r="E3" s="16">
        <f>'Data Sheet'!E81</f>
      </c>
      <c r="F3" s="16">
        <f>'Data Sheet'!F81</f>
      </c>
      <c r="G3" s="16">
        <f>'Data Sheet'!G81</f>
      </c>
      <c r="H3" s="16">
        <f>'Data Sheet'!H81</f>
      </c>
      <c r="I3" s="16">
        <f>'Data Sheet'!I81</f>
      </c>
      <c r="J3" s="16">
        <f>'Data Sheet'!J81</f>
      </c>
      <c r="K3" s="16">
        <f>'Data Sheet'!K81</f>
      </c>
    </row>
    <row r="4" spans="1:11" s="8" customFormat="1" x14ac:dyDescent="0.2">
      <c r="A4" s="8" t="s">
        <v>32</v>
      </c>
      <c r="B4" s="1">
        <f>'Data Sheet'!B82</f>
      </c>
      <c r="C4" s="1">
        <f>'Data Sheet'!C82</f>
      </c>
      <c r="D4" s="1">
        <f>'Data Sheet'!D82</f>
      </c>
      <c r="E4" s="1">
        <f>'Data Sheet'!E82</f>
      </c>
      <c r="F4" s="1">
        <f>'Data Sheet'!F82</f>
      </c>
      <c r="G4" s="1">
        <f>'Data Sheet'!G82</f>
      </c>
      <c r="H4" s="1">
        <f>'Data Sheet'!H82</f>
      </c>
      <c r="I4" s="1">
        <f>'Data Sheet'!I82</f>
      </c>
      <c r="J4" s="1">
        <f>'Data Sheet'!J82</f>
      </c>
      <c r="K4" s="1">
        <f>'Data Sheet'!K82</f>
      </c>
    </row>
    <row r="5" spans="1:11" x14ac:dyDescent="0.2">
      <c r="A5" s="6" t="s">
        <v>33</v>
      </c>
      <c r="B5" s="9">
        <f>'Data Sheet'!B83</f>
      </c>
      <c r="C5" s="9">
        <f>'Data Sheet'!C83</f>
      </c>
      <c r="D5" s="9">
        <f>'Data Sheet'!D83</f>
      </c>
      <c r="E5" s="9">
        <f>'Data Sheet'!E83</f>
      </c>
      <c r="F5" s="9">
        <f>'Data Sheet'!F83</f>
      </c>
      <c r="G5" s="9">
        <f>'Data Sheet'!G83</f>
      </c>
      <c r="H5" s="9">
        <f>'Data Sheet'!H83</f>
      </c>
      <c r="I5" s="9">
        <f>'Data Sheet'!I83</f>
      </c>
      <c r="J5" s="9">
        <f>'Data Sheet'!J83</f>
      </c>
      <c r="K5" s="9">
        <f>'Data Sheet'!K83</f>
      </c>
    </row>
    <row r="6" spans="1:11" x14ac:dyDescent="0.2">
      <c r="A6" s="6" t="s">
        <v>34</v>
      </c>
      <c r="B6" s="9">
        <f>'Data Sheet'!B84</f>
      </c>
      <c r="C6" s="9">
        <f>'Data Sheet'!C84</f>
      </c>
      <c r="D6" s="9">
        <f>'Data Sheet'!D84</f>
      </c>
      <c r="E6" s="9">
        <f>'Data Sheet'!E84</f>
      </c>
      <c r="F6" s="9">
        <f>'Data Sheet'!F84</f>
      </c>
      <c r="G6" s="9">
        <f>'Data Sheet'!G84</f>
      </c>
      <c r="H6" s="9">
        <f>'Data Sheet'!H84</f>
      </c>
      <c r="I6" s="9">
        <f>'Data Sheet'!I84</f>
      </c>
      <c r="J6" s="9">
        <f>'Data Sheet'!J84</f>
      </c>
      <c r="K6" s="9">
        <f>'Data Sheet'!K84</f>
      </c>
    </row>
    <row r="7" spans="1:11" s="8" customFormat="1" x14ac:dyDescent="0.2">
      <c r="A7" s="8" t="s">
        <v>35</v>
      </c>
      <c r="B7" s="1">
        <f>'Data Sheet'!B85</f>
      </c>
      <c r="C7" s="1">
        <f>'Data Sheet'!C85</f>
      </c>
      <c r="D7" s="1">
        <f>'Data Sheet'!D85</f>
      </c>
      <c r="E7" s="1">
        <f>'Data Sheet'!E85</f>
      </c>
      <c r="F7" s="1">
        <f>'Data Sheet'!F85</f>
      </c>
      <c r="G7" s="1">
        <f>'Data Sheet'!G85</f>
      </c>
      <c r="H7" s="1">
        <f>'Data Sheet'!H85</f>
      </c>
      <c r="I7" s="1">
        <f>'Data Sheet'!I85</f>
      </c>
      <c r="J7" s="1">
        <f>'Data Sheet'!J85</f>
      </c>
      <c r="K7" s="1">
        <f>'Data Sheet'!K85</f>
      </c>
    </row>
    <row r="8" spans="1:11" x14ac:dyDescent="0.2">
      <c r="A8" s="29"/>
      <c r="B8" s="9"/>
      <c r="C8" s="9"/>
      <c r="D8" s="9"/>
      <c r="E8" s="9"/>
      <c r="F8" s="9"/>
      <c r="G8" s="9"/>
      <c r="H8" s="9"/>
      <c r="I8" s="9"/>
      <c r="J8" s="9"/>
      <c r="K8" s="9"/>
    </row>
    <row r="24" s="29" customFormat="1" x14ac:dyDescent="0.2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baseColWidth="10" defaultColWidth="8.83203125" defaultRowHeight="15" x14ac:dyDescent="0.2"/>
  <cols>
    <col min="1" max="1" width="8.83203125" style="8"/>
    <col min="2" max="2" width="10.5" style="11" customWidth="1"/>
    <col min="3" max="3" width="13.33203125" style="26" customWidth="1"/>
    <col min="4" max="5" width="8.83203125" style="11"/>
    <col min="6" max="6" width="6.83203125" style="11" customWidth="1"/>
    <col min="7" max="16384" width="8.83203125" style="11"/>
  </cols>
  <sheetData>
    <row r="1" spans="1:7" ht="21" x14ac:dyDescent="0.25">
      <c r="A1" s="25" t="s">
        <v>56</v>
      </c>
    </row>
    <row r="3" spans="1:7" x14ac:dyDescent="0.2">
      <c r="A3" s="8" t="s">
        <v>48</v>
      </c>
    </row>
    <row r="4" spans="1:7" x14ac:dyDescent="0.2">
      <c r="B4" s="11" t="s">
        <v>90</v>
      </c>
    </row>
    <row r="5" spans="1:7" x14ac:dyDescent="0.2">
      <c r="B5" s="11" t="s">
        <v>49</v>
      </c>
    </row>
    <row r="7" spans="1:7" x14ac:dyDescent="0.2">
      <c r="A7" s="8" t="s">
        <v>50</v>
      </c>
    </row>
    <row r="8" spans="1:7" x14ac:dyDescent="0.2">
      <c r="B8" s="11" t="s">
        <v>51</v>
      </c>
      <c r="C8" s="27" t="s">
        <v>91</v>
      </c>
    </row>
    <row r="10" spans="1:7" x14ac:dyDescent="0.2">
      <c r="A10" s="8" t="s">
        <v>52</v>
      </c>
    </row>
    <row r="11" spans="1:7" x14ac:dyDescent="0.2">
      <c r="B11" s="11" t="s">
        <v>53</v>
      </c>
    </row>
    <row r="14" spans="1:7" x14ac:dyDescent="0.2">
      <c r="A14" s="8" t="s">
        <v>54</v>
      </c>
    </row>
    <row r="15" spans="1:7" x14ac:dyDescent="0.2">
      <c r="B15" s="11" t="s">
        <v>55</v>
      </c>
    </row>
    <row r="16" spans="1:7" x14ac:dyDescent="0.2">
      <c r="B16" s="11" t="s">
        <v>92</v>
      </c>
      <c r="G16" s="28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E38" activePane="bottomRight" state="frozen"/>
      <selection activeCell="C4" sqref="C4"/>
      <selection pane="topRight" activeCell="C4" sqref="C4"/>
      <selection pane="bottomLeft" activeCell="C4" sqref="C4"/>
      <selection pane="bottomRight" activeCell="A51" sqref="A51"/>
    </sheetView>
  </sheetViews>
  <sheetFormatPr baseColWidth="10" defaultColWidth="8.83203125" defaultRowHeight="15" x14ac:dyDescent="0.2"/>
  <cols>
    <col min="1" max="1" width="27.6640625" style="5" bestFit="1" customWidth="1"/>
    <col min="2" max="11" width="13.5" style="5" bestFit="1" customWidth="1"/>
    <col min="12" max="16384" width="8.83203125" style="5"/>
  </cols>
  <sheetData>
    <row r="1" spans="1:11" s="1" customFormat="1" x14ac:dyDescent="0.2">
      <c r="A1" s="1" t="s">
        <v>0</v>
      </c>
      <c r="B1" s="1" t="s">
        <v>63</v>
      </c>
      <c r="E1" s="32" t="str">
        <f>IF(B2&lt;&gt;B3, "A NEW VERSION OF THE WORKSHEET IS AVAILABLE", "")</f>
      </c>
      <c r="F1" s="32"/>
      <c r="G1" s="32"/>
      <c r="H1" s="32"/>
      <c r="I1" s="32"/>
      <c r="J1" s="32"/>
      <c r="K1" s="32"/>
    </row>
    <row r="2" spans="1:11" x14ac:dyDescent="0.2">
      <c r="A2" s="1" t="s">
        <v>61</v>
      </c>
      <c r="B2" s="5">
        <v>2.1</v>
      </c>
      <c r="E2" s="33" t="s">
        <v>36</v>
      </c>
      <c r="F2" s="33"/>
      <c r="G2" s="33"/>
      <c r="H2" s="33"/>
      <c r="I2" s="33"/>
      <c r="J2" s="33"/>
      <c r="K2" s="33"/>
    </row>
    <row r="3" spans="1:11" x14ac:dyDescent="0.2">
      <c r="A3" s="1" t="s">
        <v>62</v>
      </c>
      <c r="B3" s="5">
        <v>2.1</v>
      </c>
    </row>
    <row r="4" spans="1:11" x14ac:dyDescent="0.2">
      <c r="A4" s="1"/>
    </row>
    <row r="5" spans="1:11" x14ac:dyDescent="0.2">
      <c r="A5" s="1" t="s">
        <v>64</v>
      </c>
    </row>
    <row r="6" spans="1:11" x14ac:dyDescent="0.2">
      <c r="A6" s="5" t="s">
        <v>42</v>
      </c>
      <c r="B6" s="5">
        <f>IF(B9&gt;0, B9/B8, 0)</f>
      </c>
    </row>
    <row r="7" spans="1:11" x14ac:dyDescent="0.2">
      <c r="A7" s="5" t="s">
        <v>31</v>
      </c>
      <c r="B7">
        <v>1.00</v>
      </c>
    </row>
    <row r="8" spans="1:11" x14ac:dyDescent="0.2">
      <c r="A8" s="5" t="s">
        <v>43</v>
      </c>
      <c r="B8">
        <v>2559.20</v>
      </c>
    </row>
    <row r="9" spans="1:11" x14ac:dyDescent="0.2">
      <c r="A9" s="5" t="s">
        <v>79</v>
      </c>
      <c r="B9">
        <v>926071.97</v>
      </c>
    </row>
    <row r="15" spans="1:11" x14ac:dyDescent="0.2">
      <c r="A15" s="1" t="s">
        <v>37</v>
      </c>
    </row>
    <row r="16" spans="1:11" s="24" customFormat="1" x14ac:dyDescent="0.2">
      <c r="A16" s="23" t="s">
        <v>38</v>
      </c>
      <c r="B16" s="16">
        <v>42460.0</v>
      </c>
      <c r="C16" s="16">
        <v>42825.0</v>
      </c>
      <c r="D16" s="16">
        <v>43190.0</v>
      </c>
      <c r="E16" s="16">
        <v>43555.0</v>
      </c>
      <c r="F16" s="16">
        <v>43921.0</v>
      </c>
      <c r="G16" s="16">
        <v>44286.0</v>
      </c>
      <c r="H16" s="16">
        <v>44651.0</v>
      </c>
      <c r="I16" s="16">
        <v>45016.0</v>
      </c>
      <c r="J16" s="16">
        <v>45382.0</v>
      </c>
      <c r="K16" s="16">
        <v>45747.0</v>
      </c>
    </row>
    <row r="17" spans="1:1" s="9" customFormat="1" x14ac:dyDescent="0.2">
      <c r="A17" s="9" t="s">
        <v>6</v>
      </c>
      <c r="B17">
        <v>108646.0</v>
      </c>
      <c r="C17">
        <v>117966.0</v>
      </c>
      <c r="D17">
        <v>123104.0</v>
      </c>
      <c r="E17">
        <v>146463.0</v>
      </c>
      <c r="F17">
        <v>156949.0</v>
      </c>
      <c r="G17">
        <v>164177.0</v>
      </c>
      <c r="H17">
        <v>191754.0</v>
      </c>
      <c r="I17">
        <v>225458.0</v>
      </c>
      <c r="J17">
        <v>240893.0</v>
      </c>
      <c r="K17">
        <v>255324.0</v>
      </c>
    </row>
    <row r="18" spans="1:1" s="9" customFormat="1" x14ac:dyDescent="0.2">
      <c r="A18" s="5" t="s">
        <v>80</v>
      </c>
      <c r="C18">
        <v>94.0</v>
      </c>
      <c r="D18">
        <v>86.0</v>
      </c>
      <c r="E18">
        <v>40.0</v>
      </c>
      <c r="F18">
        <v>18.0</v>
      </c>
      <c r="G18">
        <v>14.0</v>
      </c>
      <c r="H18">
        <v>29.0</v>
      </c>
      <c r="I18">
        <v>37.0</v>
      </c>
      <c r="J18">
        <v>42.0</v>
      </c>
      <c r="K18">
        <v>49.0</v>
      </c>
    </row>
    <row r="19" spans="1:1" s="9" customFormat="1" x14ac:dyDescent="0.2">
      <c r="A19" s="5" t="s">
        <v>81</v>
      </c>
      <c r="C19">
        <v>1.0</v>
      </c>
    </row>
    <row r="20" spans="1:1" s="9" customFormat="1" x14ac:dyDescent="0.2">
      <c r="A20" s="5" t="s">
        <v>82</v>
      </c>
    </row>
    <row r="21" spans="1:1" s="9" customFormat="1" x14ac:dyDescent="0.2">
      <c r="A21" s="5" t="s">
        <v>83</v>
      </c>
      <c r="B21">
        <v>2571.0</v>
      </c>
      <c r="C21">
        <v>2715.0</v>
      </c>
      <c r="D21">
        <v>2614.0</v>
      </c>
      <c r="E21">
        <v>2230.0</v>
      </c>
      <c r="F21">
        <v>1887.0</v>
      </c>
      <c r="G21">
        <v>1448.0</v>
      </c>
      <c r="H21">
        <v>1134.0</v>
      </c>
      <c r="I21">
        <v>1844.0</v>
      </c>
      <c r="J21">
        <v>3660.0</v>
      </c>
      <c r="K21">
        <v>11599.0</v>
      </c>
    </row>
    <row r="22" spans="1:1" s="9" customFormat="1" x14ac:dyDescent="0.2">
      <c r="A22" s="5" t="s">
        <v>84</v>
      </c>
      <c r="B22">
        <v>55348.0</v>
      </c>
      <c r="C22">
        <v>61621.0</v>
      </c>
      <c r="D22">
        <v>66396.0</v>
      </c>
      <c r="E22">
        <v>78246.0</v>
      </c>
      <c r="F22">
        <v>85952.0</v>
      </c>
      <c r="G22">
        <v>91814.0</v>
      </c>
      <c r="H22">
        <v>107554.0</v>
      </c>
      <c r="I22">
        <v>127522.0</v>
      </c>
      <c r="J22">
        <v>140131.0</v>
      </c>
      <c r="K22">
        <v>145788.0</v>
      </c>
    </row>
    <row r="23" spans="1:1" s="9" customFormat="1" x14ac:dyDescent="0.2">
      <c r="A23" s="5" t="s">
        <v>85</v>
      </c>
      <c r="B23">
        <v>15589.0</v>
      </c>
      <c r="C23">
        <v>16392.0</v>
      </c>
      <c r="D23">
        <v>16808.0</v>
      </c>
      <c r="E23">
        <v>20387.0</v>
      </c>
      <c r="F23">
        <v>20527.0</v>
      </c>
      <c r="G23">
        <v>18322.0</v>
      </c>
      <c r="H23">
        <v>23187.0</v>
      </c>
      <c r="I23">
        <v>28913.0</v>
      </c>
      <c r="J23">
        <v>24151.0</v>
      </c>
      <c r="K23">
        <v>20729.0</v>
      </c>
    </row>
    <row r="24" spans="1:1" s="9" customFormat="1" x14ac:dyDescent="0.2">
      <c r="A24" s="5" t="s">
        <v>86</v>
      </c>
      <c r="B24">
        <v>4461.0</v>
      </c>
      <c r="C24">
        <v>4834.0</v>
      </c>
      <c r="D24">
        <v>4684.0</v>
      </c>
      <c r="E24">
        <v>6054.0</v>
      </c>
      <c r="F24">
        <v>6456.0</v>
      </c>
      <c r="G24">
        <v>6033.0</v>
      </c>
      <c r="H24">
        <v>6793.0</v>
      </c>
      <c r="I24">
        <v>7883.0</v>
      </c>
      <c r="J24">
        <v>8613.0</v>
      </c>
      <c r="K24">
        <v>9752.0</v>
      </c>
    </row>
    <row r="25" spans="1:1" s="9" customFormat="1" x14ac:dyDescent="0.2">
      <c r="A25" s="9" t="s">
        <v>9</v>
      </c>
      <c r="B25">
        <v>3084.0</v>
      </c>
      <c r="C25">
        <v>4221.0</v>
      </c>
      <c r="D25">
        <v>3642.0</v>
      </c>
      <c r="E25">
        <v>4311.0</v>
      </c>
      <c r="F25">
        <v>4592.0</v>
      </c>
      <c r="G25">
        <v>1916.0</v>
      </c>
      <c r="H25">
        <v>4018.0</v>
      </c>
      <c r="I25">
        <v>3449.0</v>
      </c>
      <c r="J25">
        <v>3464.0</v>
      </c>
      <c r="K25">
        <v>3962.0</v>
      </c>
    </row>
    <row r="26" spans="1:1" s="9" customFormat="1" x14ac:dyDescent="0.2">
      <c r="A26" s="9" t="s">
        <v>10</v>
      </c>
      <c r="B26">
        <v>1888.0</v>
      </c>
      <c r="C26">
        <v>1987.0</v>
      </c>
      <c r="D26">
        <v>2014.0</v>
      </c>
      <c r="E26">
        <v>2056.0</v>
      </c>
      <c r="F26">
        <v>3529.0</v>
      </c>
      <c r="G26">
        <v>4065.0</v>
      </c>
      <c r="H26">
        <v>4604.0</v>
      </c>
      <c r="I26">
        <v>5022.0</v>
      </c>
      <c r="J26">
        <v>4985.0</v>
      </c>
      <c r="K26">
        <v>5242.0</v>
      </c>
    </row>
    <row r="27" spans="1:1" s="9" customFormat="1" x14ac:dyDescent="0.2">
      <c r="A27" s="9" t="s">
        <v>11</v>
      </c>
      <c r="B27">
        <v>33.0</v>
      </c>
      <c r="C27">
        <v>32.0</v>
      </c>
      <c r="D27">
        <v>52.0</v>
      </c>
      <c r="E27">
        <v>198.0</v>
      </c>
      <c r="F27">
        <v>924.0</v>
      </c>
      <c r="G27">
        <v>637.0</v>
      </c>
      <c r="H27">
        <v>784.0</v>
      </c>
      <c r="I27">
        <v>779.0</v>
      </c>
      <c r="J27">
        <v>778.0</v>
      </c>
      <c r="K27">
        <v>796.0</v>
      </c>
    </row>
    <row r="28" spans="1:1" s="9" customFormat="1" x14ac:dyDescent="0.2">
      <c r="A28" s="9" t="s">
        <v>12</v>
      </c>
      <c r="B28">
        <v>31840.0</v>
      </c>
      <c r="C28">
        <v>34513.0</v>
      </c>
      <c r="D28">
        <v>34092.0</v>
      </c>
      <c r="E28">
        <v>41563.0</v>
      </c>
      <c r="F28">
        <v>42248.0</v>
      </c>
      <c r="G28">
        <v>43760.0</v>
      </c>
      <c r="H28">
        <v>51687.0</v>
      </c>
      <c r="I28">
        <v>56907.0</v>
      </c>
      <c r="J28">
        <v>61997.0</v>
      </c>
      <c r="K28">
        <v>65331.0</v>
      </c>
    </row>
    <row r="29" spans="1:1" s="9" customFormat="1" x14ac:dyDescent="0.2">
      <c r="A29" s="9" t="s">
        <v>13</v>
      </c>
      <c r="B29">
        <v>7502.0</v>
      </c>
      <c r="C29">
        <v>8156.0</v>
      </c>
      <c r="D29">
        <v>8212.0</v>
      </c>
      <c r="E29">
        <v>10001.0</v>
      </c>
      <c r="F29">
        <v>9801.0</v>
      </c>
      <c r="G29">
        <v>11198.0</v>
      </c>
      <c r="H29">
        <v>13238.0</v>
      </c>
      <c r="I29">
        <v>14604.0</v>
      </c>
      <c r="J29">
        <v>15898.0</v>
      </c>
      <c r="K29">
        <v>16534.0</v>
      </c>
    </row>
    <row r="30" spans="1:1" s="9" customFormat="1" x14ac:dyDescent="0.2">
      <c r="A30" s="9" t="s">
        <v>14</v>
      </c>
      <c r="B30">
        <v>24270.0</v>
      </c>
      <c r="C30">
        <v>26289.0</v>
      </c>
      <c r="D30">
        <v>25826.0</v>
      </c>
      <c r="E30">
        <v>31472.0</v>
      </c>
      <c r="F30">
        <v>32340.0</v>
      </c>
      <c r="G30">
        <v>32430.0</v>
      </c>
      <c r="H30">
        <v>38327.0</v>
      </c>
      <c r="I30">
        <v>42147.0</v>
      </c>
      <c r="J30">
        <v>45908.0</v>
      </c>
      <c r="K30">
        <v>48553.0</v>
      </c>
    </row>
    <row r="31" spans="1:1" s="9" customFormat="1" x14ac:dyDescent="0.2">
      <c r="A31" s="9" t="s">
        <v>70</v>
      </c>
      <c r="B31">
        <v>8569.5</v>
      </c>
      <c r="C31">
        <v>9259.0</v>
      </c>
      <c r="D31">
        <v>9550.0</v>
      </c>
      <c r="E31">
        <v>11250.0</v>
      </c>
      <c r="F31">
        <v>27375.0</v>
      </c>
      <c r="G31">
        <v>14060.0</v>
      </c>
      <c r="H31">
        <v>15738.0</v>
      </c>
      <c r="I31">
        <v>42090.0</v>
      </c>
      <c r="J31">
        <v>26426.0</v>
      </c>
      <c r="K31">
        <v>45612.0</v>
      </c>
    </row>
    <row r="32" spans="1:1" s="9" customFormat="1" x14ac:dyDescent="0.2"/>
    <row r="33" spans="1:11" x14ac:dyDescent="0.2">
      <c r="A33" s="9"/>
    </row>
    <row r="34" spans="1:11" x14ac:dyDescent="0.2">
      <c r="A34" s="9"/>
    </row>
    <row r="35" spans="1:11" x14ac:dyDescent="0.2">
      <c r="A35" s="9"/>
    </row>
    <row r="36" spans="1:11" x14ac:dyDescent="0.2">
      <c r="A36" s="9"/>
    </row>
    <row r="37" spans="1:11" x14ac:dyDescent="0.2">
      <c r="A37" s="9"/>
    </row>
    <row r="38" spans="1:11" x14ac:dyDescent="0.2">
      <c r="A38" s="9"/>
    </row>
    <row r="39" spans="1:11" x14ac:dyDescent="0.2">
      <c r="A39" s="9"/>
    </row>
    <row r="40" spans="1:11" x14ac:dyDescent="0.2">
      <c r="A40" s="1" t="s">
        <v>39</v>
      </c>
    </row>
    <row r="41" spans="1:11" s="24" customFormat="1" x14ac:dyDescent="0.2">
      <c r="A41" s="23" t="s">
        <v>38</v>
      </c>
      <c r="B41" s="16">
        <v>45199.0</v>
      </c>
      <c r="C41" s="16">
        <v>45291.0</v>
      </c>
      <c r="D41" s="16">
        <v>45382.0</v>
      </c>
      <c r="E41" s="16">
        <v>45473.0</v>
      </c>
      <c r="F41" s="16">
        <v>45565.0</v>
      </c>
      <c r="G41" s="16">
        <v>45657.0</v>
      </c>
      <c r="H41" s="16">
        <v>45747.0</v>
      </c>
      <c r="I41" s="16">
        <v>45838.0</v>
      </c>
      <c r="J41" s="16">
        <v>45930.0</v>
      </c>
      <c r="K41" s="16">
        <v>46022.0</v>
      </c>
    </row>
    <row r="42" spans="1:11" s="9" customFormat="1" x14ac:dyDescent="0.2">
      <c r="A42" s="9" t="s">
        <v>6</v>
      </c>
      <c r="B42">
        <v>59692.0</v>
      </c>
      <c r="C42">
        <v>60583.0</v>
      </c>
      <c r="D42">
        <v>61237.0</v>
      </c>
      <c r="E42">
        <v>62613.0</v>
      </c>
      <c r="F42">
        <v>64259.0</v>
      </c>
      <c r="G42">
        <v>63973.0</v>
      </c>
      <c r="H42">
        <v>64479.0</v>
      </c>
      <c r="I42">
        <v>63437.0</v>
      </c>
      <c r="J42">
        <v>65799.0</v>
      </c>
      <c r="K42">
        <v>67087.0</v>
      </c>
    </row>
    <row r="43" spans="1:11" s="9" customFormat="1" x14ac:dyDescent="0.2">
      <c r="A43" s="9" t="s">
        <v>7</v>
      </c>
      <c r="B43">
        <v>43946.0</v>
      </c>
      <c r="C43">
        <v>44195.0</v>
      </c>
      <c r="D43">
        <v>44073.0</v>
      </c>
      <c r="E43">
        <v>45951.0</v>
      </c>
      <c r="F43">
        <v>47528.0</v>
      </c>
      <c r="G43">
        <v>46939.0</v>
      </c>
      <c r="H43">
        <v>47499.0</v>
      </c>
      <c r="I43">
        <v>46562.0</v>
      </c>
      <c r="J43">
        <v>47821.0</v>
      </c>
      <c r="K43">
        <v>48818.0</v>
      </c>
    </row>
    <row r="44" spans="1:11" s="9" customFormat="1" x14ac:dyDescent="0.2">
      <c r="A44" s="9" t="s">
        <v>9</v>
      </c>
      <c r="B44">
        <v>1006.0</v>
      </c>
      <c r="C44">
        <v>-96.0</v>
      </c>
      <c r="D44">
        <v>1157.0</v>
      </c>
      <c r="E44">
        <v>962.0</v>
      </c>
      <c r="F44">
        <v>729.0</v>
      </c>
      <c r="G44">
        <v>1243.0</v>
      </c>
      <c r="H44">
        <v>1028.0</v>
      </c>
      <c r="I44">
        <v>1660.0</v>
      </c>
      <c r="J44">
        <v>-268.0</v>
      </c>
      <c r="K44">
        <v>-2273.0</v>
      </c>
    </row>
    <row r="45" spans="1:11" s="9" customFormat="1" x14ac:dyDescent="0.2">
      <c r="A45" s="9" t="s">
        <v>10</v>
      </c>
      <c r="B45">
        <v>1263.0</v>
      </c>
      <c r="C45">
        <v>1233.0</v>
      </c>
      <c r="D45">
        <v>1246.0</v>
      </c>
      <c r="E45">
        <v>1220.0</v>
      </c>
      <c r="F45">
        <v>1266.0</v>
      </c>
      <c r="G45">
        <v>1377.0</v>
      </c>
      <c r="H45">
        <v>1379.0</v>
      </c>
      <c r="I45">
        <v>1361.0</v>
      </c>
      <c r="J45">
        <v>1413.0</v>
      </c>
      <c r="K45">
        <v>1380.0</v>
      </c>
    </row>
    <row r="46" spans="1:11" s="9" customFormat="1" x14ac:dyDescent="0.2">
      <c r="A46" s="9" t="s">
        <v>11</v>
      </c>
      <c r="B46">
        <v>159.0</v>
      </c>
      <c r="C46">
        <v>230.0</v>
      </c>
      <c r="D46">
        <v>226.0</v>
      </c>
      <c r="E46">
        <v>173.0</v>
      </c>
      <c r="F46">
        <v>162.0</v>
      </c>
      <c r="G46">
        <v>234.0</v>
      </c>
      <c r="H46">
        <v>227.0</v>
      </c>
      <c r="I46">
        <v>195.0</v>
      </c>
      <c r="J46">
        <v>229.0</v>
      </c>
      <c r="K46">
        <v>538.0</v>
      </c>
    </row>
    <row r="47" spans="1:11" s="9" customFormat="1" x14ac:dyDescent="0.2">
      <c r="A47" s="9" t="s">
        <v>12</v>
      </c>
      <c r="B47">
        <v>15330.0</v>
      </c>
      <c r="C47">
        <v>14829.0</v>
      </c>
      <c r="D47">
        <v>16849.0</v>
      </c>
      <c r="E47">
        <v>16231.0</v>
      </c>
      <c r="F47">
        <v>16032.0</v>
      </c>
      <c r="G47">
        <v>16666.0</v>
      </c>
      <c r="H47">
        <v>16402.0</v>
      </c>
      <c r="I47">
        <v>16979.0</v>
      </c>
      <c r="J47">
        <v>16068.0</v>
      </c>
      <c r="K47">
        <v>14078.0</v>
      </c>
    </row>
    <row r="48" spans="1:11" s="9" customFormat="1" x14ac:dyDescent="0.2">
      <c r="A48" s="9" t="s">
        <v>13</v>
      </c>
      <c r="B48">
        <v>3950.0</v>
      </c>
      <c r="C48">
        <v>3732.0</v>
      </c>
      <c r="D48">
        <v>4347.0</v>
      </c>
      <c r="E48">
        <v>4126.0</v>
      </c>
      <c r="F48">
        <v>4077.0</v>
      </c>
      <c r="G48">
        <v>4222.0</v>
      </c>
      <c r="H48">
        <v>4109.0</v>
      </c>
      <c r="I48">
        <v>4160.0</v>
      </c>
      <c r="J48">
        <v>3937.0</v>
      </c>
      <c r="K48">
        <v>3358.0</v>
      </c>
    </row>
    <row r="49" spans="1:11" s="9" customFormat="1" x14ac:dyDescent="0.2">
      <c r="A49" s="9" t="s">
        <v>14</v>
      </c>
      <c r="B49">
        <v>11342.0</v>
      </c>
      <c r="C49">
        <v>11058.0</v>
      </c>
      <c r="D49">
        <v>12434.0</v>
      </c>
      <c r="E49">
        <v>12040.0</v>
      </c>
      <c r="F49">
        <v>11909.0</v>
      </c>
      <c r="G49">
        <v>12380.0</v>
      </c>
      <c r="H49">
        <v>12224.0</v>
      </c>
      <c r="I49">
        <v>12760.0</v>
      </c>
      <c r="J49">
        <v>12075.0</v>
      </c>
      <c r="K49">
        <v>10657.0</v>
      </c>
    </row>
    <row r="50" spans="1:11" x14ac:dyDescent="0.2">
      <c r="A50" s="9" t="s">
        <v>8</v>
      </c>
      <c r="B50">
        <v>15746.0</v>
      </c>
      <c r="C50">
        <v>16388.0</v>
      </c>
      <c r="D50">
        <v>17164.0</v>
      </c>
      <c r="E50">
        <v>16662.0</v>
      </c>
      <c r="F50">
        <v>16731.0</v>
      </c>
      <c r="G50">
        <v>17034.0</v>
      </c>
      <c r="H50">
        <v>16980.0</v>
      </c>
      <c r="I50">
        <v>16875.0</v>
      </c>
      <c r="J50">
        <v>17978.0</v>
      </c>
      <c r="K50">
        <v>18269.0</v>
      </c>
    </row>
    <row r="51" spans="1:11" x14ac:dyDescent="0.2">
      <c r="A51" s="9"/>
    </row>
    <row r="52" spans="1:11" x14ac:dyDescent="0.2">
      <c r="A52" s="9"/>
    </row>
    <row r="53" spans="1:11" x14ac:dyDescent="0.2">
      <c r="A53" s="9"/>
    </row>
    <row r="54" spans="1:11" x14ac:dyDescent="0.2">
      <c r="A54" s="9"/>
    </row>
    <row r="55" spans="1:11" x14ac:dyDescent="0.2">
      <c r="A55" s="1" t="s">
        <v>40</v>
      </c>
    </row>
    <row r="56" spans="1:11" s="24" customFormat="1" x14ac:dyDescent="0.2">
      <c r="A56" s="23" t="s">
        <v>38</v>
      </c>
      <c r="B56" s="16">
        <v>42460.0</v>
      </c>
      <c r="C56" s="16">
        <v>42825.0</v>
      </c>
      <c r="D56" s="16">
        <v>43190.0</v>
      </c>
      <c r="E56" s="16">
        <v>43555.0</v>
      </c>
      <c r="F56" s="16">
        <v>43921.0</v>
      </c>
      <c r="G56" s="16">
        <v>44286.0</v>
      </c>
      <c r="H56" s="16">
        <v>44651.0</v>
      </c>
      <c r="I56" s="16">
        <v>45016.0</v>
      </c>
      <c r="J56" s="16">
        <v>45382.0</v>
      </c>
      <c r="K56" s="16">
        <v>45747.0</v>
      </c>
    </row>
    <row r="57" spans="1:11" x14ac:dyDescent="0.2">
      <c r="A57" s="9" t="s">
        <v>24</v>
      </c>
      <c r="B57">
        <v>197.0</v>
      </c>
      <c r="C57">
        <v>197.0</v>
      </c>
      <c r="D57">
        <v>191.0</v>
      </c>
      <c r="E57">
        <v>375.0</v>
      </c>
      <c r="F57">
        <v>375.0</v>
      </c>
      <c r="G57">
        <v>370.0</v>
      </c>
      <c r="H57">
        <v>366.0</v>
      </c>
      <c r="I57">
        <v>366.0</v>
      </c>
      <c r="J57">
        <v>362.0</v>
      </c>
      <c r="K57">
        <v>362.0</v>
      </c>
    </row>
    <row r="58" spans="1:11" x14ac:dyDescent="0.2">
      <c r="A58" s="9" t="s">
        <v>25</v>
      </c>
      <c r="B58">
        <v>70875.0</v>
      </c>
      <c r="C58">
        <v>86017.0</v>
      </c>
      <c r="D58">
        <v>84937.0</v>
      </c>
      <c r="E58">
        <v>89071.0</v>
      </c>
      <c r="F58">
        <v>83751.0</v>
      </c>
      <c r="G58">
        <v>86063.0</v>
      </c>
      <c r="H58">
        <v>88773.0</v>
      </c>
      <c r="I58">
        <v>90058.0</v>
      </c>
      <c r="J58">
        <v>90127.0</v>
      </c>
      <c r="K58">
        <v>94394.0</v>
      </c>
    </row>
    <row r="59" spans="1:11" x14ac:dyDescent="0.2">
      <c r="A59" s="9" t="s">
        <v>71</v>
      </c>
      <c r="B59">
        <v>245.0</v>
      </c>
      <c r="C59">
        <v>289.0</v>
      </c>
      <c r="D59">
        <v>247.0</v>
      </c>
      <c r="E59">
        <v>62.0</v>
      </c>
      <c r="F59">
        <v>8174.0</v>
      </c>
      <c r="G59">
        <v>7795.0</v>
      </c>
      <c r="H59">
        <v>7818.0</v>
      </c>
      <c r="I59">
        <v>7688.0</v>
      </c>
      <c r="J59">
        <v>8021.0</v>
      </c>
      <c r="K59">
        <v>9392.0</v>
      </c>
    </row>
    <row r="60" spans="1:11" x14ac:dyDescent="0.2">
      <c r="A60" s="9" t="s">
        <v>72</v>
      </c>
      <c r="B60">
        <v>16974.0</v>
      </c>
      <c r="C60">
        <v>15830.0</v>
      </c>
      <c r="D60">
        <v>19751.0</v>
      </c>
      <c r="E60">
        <v>24393.0</v>
      </c>
      <c r="F60">
        <v>27827.0</v>
      </c>
      <c r="G60">
        <v>35764.0</v>
      </c>
      <c r="H60">
        <v>43967.0</v>
      </c>
      <c r="I60">
        <v>44747.0</v>
      </c>
      <c r="J60">
        <v>46962.0</v>
      </c>
      <c r="K60">
        <v>54501.0</v>
      </c>
    </row>
    <row r="61" spans="1:11" s="1" customFormat="1" x14ac:dyDescent="0.2">
      <c r="A61" s="1" t="s">
        <v>26</v>
      </c>
      <c r="B61">
        <v>88291.0</v>
      </c>
      <c r="C61">
        <v>102333.0</v>
      </c>
      <c r="D61">
        <v>105126.0</v>
      </c>
      <c r="E61">
        <v>113901.0</v>
      </c>
      <c r="F61">
        <v>120127.0</v>
      </c>
      <c r="G61">
        <v>129992.0</v>
      </c>
      <c r="H61">
        <v>140924.0</v>
      </c>
      <c r="I61">
        <v>142859.0</v>
      </c>
      <c r="J61">
        <v>145472.0</v>
      </c>
      <c r="K61">
        <v>158649.0</v>
      </c>
    </row>
    <row r="62" spans="1:11" x14ac:dyDescent="0.2">
      <c r="A62" s="9" t="s">
        <v>27</v>
      </c>
      <c r="B62">
        <v>11774.0</v>
      </c>
      <c r="C62">
        <v>11701.0</v>
      </c>
      <c r="D62">
        <v>11973.0</v>
      </c>
      <c r="E62">
        <v>12290.0</v>
      </c>
      <c r="F62">
        <v>20928.0</v>
      </c>
      <c r="G62">
        <v>21021.0</v>
      </c>
      <c r="H62">
        <v>21298.0</v>
      </c>
      <c r="I62">
        <v>20515.0</v>
      </c>
      <c r="J62">
        <v>19604.0</v>
      </c>
      <c r="K62">
        <v>23053.0</v>
      </c>
    </row>
    <row r="63" spans="1:11" x14ac:dyDescent="0.2">
      <c r="A63" s="9" t="s">
        <v>28</v>
      </c>
      <c r="B63">
        <v>1670.0</v>
      </c>
      <c r="C63">
        <v>1541.0</v>
      </c>
      <c r="D63">
        <v>1278.0</v>
      </c>
      <c r="E63">
        <v>963.0</v>
      </c>
      <c r="F63">
        <v>906.0</v>
      </c>
      <c r="G63">
        <v>926.0</v>
      </c>
      <c r="H63">
        <v>1205.0</v>
      </c>
      <c r="I63">
        <v>1234.0</v>
      </c>
      <c r="J63">
        <v>1564.0</v>
      </c>
      <c r="K63">
        <v>1546.0</v>
      </c>
    </row>
    <row r="64" spans="1:11" x14ac:dyDescent="0.2">
      <c r="A64" s="9" t="s">
        <v>29</v>
      </c>
      <c r="B64">
        <v>22822.0</v>
      </c>
      <c r="C64">
        <v>41980.0</v>
      </c>
      <c r="D64">
        <v>36008.0</v>
      </c>
      <c r="E64">
        <v>29330.0</v>
      </c>
      <c r="F64">
        <v>26356.0</v>
      </c>
      <c r="G64">
        <v>29373.0</v>
      </c>
      <c r="H64">
        <v>30485.0</v>
      </c>
      <c r="I64">
        <v>37163.0</v>
      </c>
      <c r="J64">
        <v>31762.0</v>
      </c>
      <c r="K64">
        <v>30964.0</v>
      </c>
    </row>
    <row r="65" spans="1:1" x14ac:dyDescent="0.2">
      <c r="A65" s="9" t="s">
        <v>73</v>
      </c>
      <c r="B65">
        <v>52025.0</v>
      </c>
      <c r="C65">
        <v>47111.0</v>
      </c>
      <c r="D65">
        <v>55867.0</v>
      </c>
      <c r="E65">
        <v>71318.0</v>
      </c>
      <c r="F65">
        <v>71937.0</v>
      </c>
      <c r="G65">
        <v>78672.0</v>
      </c>
      <c r="H65">
        <v>87936.0</v>
      </c>
      <c r="I65">
        <v>83947.0</v>
      </c>
      <c r="J65">
        <v>92542.0</v>
      </c>
      <c r="K65">
        <v>103086.0</v>
      </c>
    </row>
    <row r="66" spans="1:1" s="1" customFormat="1" x14ac:dyDescent="0.2">
      <c r="A66" s="1" t="s">
        <v>26</v>
      </c>
      <c r="B66">
        <v>88291.0</v>
      </c>
      <c r="C66">
        <v>102333.0</v>
      </c>
      <c r="D66">
        <v>105126.0</v>
      </c>
      <c r="E66">
        <v>113901.0</v>
      </c>
      <c r="F66">
        <v>120127.0</v>
      </c>
      <c r="G66">
        <v>129992.0</v>
      </c>
      <c r="H66">
        <v>140924.0</v>
      </c>
      <c r="I66">
        <v>142859.0</v>
      </c>
      <c r="J66">
        <v>145472.0</v>
      </c>
      <c r="K66">
        <v>158649.0</v>
      </c>
    </row>
    <row r="67" spans="1:1" s="9" customFormat="1" x14ac:dyDescent="0.2">
      <c r="A67" s="9" t="s">
        <v>78</v>
      </c>
      <c r="B67">
        <v>24073.0</v>
      </c>
      <c r="C67">
        <v>22617.0</v>
      </c>
      <c r="D67">
        <v>24943.0</v>
      </c>
      <c r="E67">
        <v>27346.0</v>
      </c>
      <c r="F67">
        <v>30532.0</v>
      </c>
      <c r="G67">
        <v>30079.0</v>
      </c>
      <c r="H67">
        <v>41810.0</v>
      </c>
      <c r="I67">
        <v>49954.0</v>
      </c>
      <c r="J67">
        <v>53577.0</v>
      </c>
      <c r="K67">
        <v>59046.0</v>
      </c>
    </row>
    <row r="68" spans="1:1" x14ac:dyDescent="0.2">
      <c r="A68" s="9" t="s">
        <v>45</v>
      </c>
      <c r="B68">
        <v>16.0</v>
      </c>
      <c r="C68">
        <v>21.0</v>
      </c>
      <c r="D68">
        <v>26.0</v>
      </c>
      <c r="E68">
        <v>10.0</v>
      </c>
      <c r="F68">
        <v>5.0</v>
      </c>
      <c r="G68">
        <v>8.0</v>
      </c>
      <c r="H68">
        <v>20.0</v>
      </c>
      <c r="I68">
        <v>28.0</v>
      </c>
      <c r="J68">
        <v>28.0</v>
      </c>
      <c r="K68">
        <v>21.0</v>
      </c>
    </row>
    <row r="69" spans="1:1" x14ac:dyDescent="0.2">
      <c r="A69" s="5" t="s">
        <v>87</v>
      </c>
      <c r="B69">
        <v>6788.0</v>
      </c>
      <c r="C69">
        <v>4149.0</v>
      </c>
      <c r="D69">
        <v>7161.0</v>
      </c>
      <c r="E69">
        <v>12848.0</v>
      </c>
      <c r="F69">
        <v>9666.0</v>
      </c>
      <c r="G69">
        <v>9329.0</v>
      </c>
      <c r="H69">
        <v>18221.0</v>
      </c>
      <c r="I69">
        <v>11032.0</v>
      </c>
      <c r="J69">
        <v>13286.0</v>
      </c>
      <c r="K69">
        <v>15463.0</v>
      </c>
    </row>
    <row r="70" spans="1:1" x14ac:dyDescent="0.2">
      <c r="A70" s="5" t="s">
        <v>74</v>
      </c>
      <c r="B70">
        <v>1970427941.0</v>
      </c>
      <c r="C70">
        <v>1970427941.0</v>
      </c>
      <c r="D70">
        <v>1914287591.0</v>
      </c>
      <c r="E70">
        <v>3752384706.0</v>
      </c>
      <c r="F70">
        <v>3752384706.0</v>
      </c>
      <c r="G70">
        <v>3699051373.0</v>
      </c>
      <c r="H70">
        <v>3659051373.0</v>
      </c>
      <c r="I70">
        <v>3659051373.0</v>
      </c>
      <c r="J70">
        <v>3618087518.0</v>
      </c>
      <c r="K70">
        <v>3618087518.0</v>
      </c>
    </row>
    <row r="71" spans="1:1" x14ac:dyDescent="0.2">
      <c r="A71" s="5" t="s">
        <v>75</v>
      </c>
    </row>
    <row r="72" spans="1:1" x14ac:dyDescent="0.2">
      <c r="A72" s="5" t="s">
        <v>88</v>
      </c>
      <c r="B72">
        <v>1.0</v>
      </c>
      <c r="C72">
        <v>1.0</v>
      </c>
      <c r="D72">
        <v>1.0</v>
      </c>
      <c r="E72">
        <v>1.0</v>
      </c>
      <c r="F72">
        <v>1.0</v>
      </c>
      <c r="G72">
        <v>1.0</v>
      </c>
      <c r="H72">
        <v>1.0</v>
      </c>
      <c r="I72">
        <v>1.0</v>
      </c>
      <c r="J72">
        <v>1.0</v>
      </c>
      <c r="K72">
        <v>1.0</v>
      </c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1" t="s">
        <v>41</v>
      </c>
    </row>
    <row r="81" spans="1:11" s="24" customFormat="1" x14ac:dyDescent="0.2">
      <c r="A81" s="23" t="s">
        <v>38</v>
      </c>
      <c r="B81" s="16">
        <v>42460.0</v>
      </c>
      <c r="C81" s="16">
        <v>42825.0</v>
      </c>
      <c r="D81" s="16">
        <v>43190.0</v>
      </c>
      <c r="E81" s="16">
        <v>43555.0</v>
      </c>
      <c r="F81" s="16">
        <v>43921.0</v>
      </c>
      <c r="G81" s="16">
        <v>44286.0</v>
      </c>
      <c r="H81" s="16">
        <v>44651.0</v>
      </c>
      <c r="I81" s="16">
        <v>45016.0</v>
      </c>
      <c r="J81" s="16">
        <v>45382.0</v>
      </c>
      <c r="K81" s="16">
        <v>45747.0</v>
      </c>
    </row>
    <row r="82" spans="1:11" s="1" customFormat="1" x14ac:dyDescent="0.2">
      <c r="A82" s="9" t="s">
        <v>32</v>
      </c>
      <c r="B82">
        <v>19109.0</v>
      </c>
      <c r="C82">
        <v>25223.0</v>
      </c>
      <c r="D82">
        <v>25067.0</v>
      </c>
      <c r="E82">
        <v>28593.0</v>
      </c>
      <c r="F82">
        <v>32369.0</v>
      </c>
      <c r="G82">
        <v>38802.0</v>
      </c>
      <c r="H82">
        <v>39949.0</v>
      </c>
      <c r="I82">
        <v>41965.0</v>
      </c>
      <c r="J82">
        <v>44338.0</v>
      </c>
      <c r="K82">
        <v>48908.0</v>
      </c>
    </row>
    <row r="83" spans="1:11" s="9" customFormat="1" x14ac:dyDescent="0.2">
      <c r="A83" s="9" t="s">
        <v>33</v>
      </c>
      <c r="B83">
        <v>-5010.0</v>
      </c>
      <c r="C83">
        <v>-16895.0</v>
      </c>
      <c r="D83">
        <v>3104.0</v>
      </c>
      <c r="E83">
        <v>1645.0</v>
      </c>
      <c r="F83">
        <v>8968.0</v>
      </c>
      <c r="G83">
        <v>-7956.0</v>
      </c>
      <c r="H83">
        <v>-738.0</v>
      </c>
      <c r="I83">
        <v>548.0</v>
      </c>
      <c r="J83">
        <v>6091.0</v>
      </c>
      <c r="K83">
        <v>-2144.0</v>
      </c>
    </row>
    <row r="84" spans="1:11" s="9" customFormat="1" x14ac:dyDescent="0.2">
      <c r="A84" s="9" t="s">
        <v>34</v>
      </c>
      <c r="B84">
        <v>-9666.0</v>
      </c>
      <c r="C84">
        <v>-11026.0</v>
      </c>
      <c r="D84">
        <v>-26885.0</v>
      </c>
      <c r="E84">
        <v>-27897.0</v>
      </c>
      <c r="F84">
        <v>-39915.0</v>
      </c>
      <c r="G84">
        <v>-32634.0</v>
      </c>
      <c r="H84">
        <v>-33581.0</v>
      </c>
      <c r="I84">
        <v>-47878.0</v>
      </c>
      <c r="J84">
        <v>-48536.0</v>
      </c>
      <c r="K84">
        <v>-47438.0</v>
      </c>
    </row>
    <row r="85" spans="1:11" s="1" customFormat="1" x14ac:dyDescent="0.2">
      <c r="A85" s="9" t="s">
        <v>35</v>
      </c>
      <c r="B85">
        <v>4433.0</v>
      </c>
      <c r="C85">
        <v>-2698.0</v>
      </c>
      <c r="D85">
        <v>1286.0</v>
      </c>
      <c r="E85">
        <v>2341.0</v>
      </c>
      <c r="F85">
        <v>1422.0</v>
      </c>
      <c r="G85">
        <v>-1788.0</v>
      </c>
      <c r="H85">
        <v>5630.0</v>
      </c>
      <c r="I85">
        <v>-5365.0</v>
      </c>
      <c r="J85">
        <v>1893.0</v>
      </c>
      <c r="K85">
        <v>-674.0</v>
      </c>
    </row>
    <row r="86" spans="1:11" x14ac:dyDescent="0.2">
      <c r="A86" s="9"/>
    </row>
    <row r="87" spans="1:11" x14ac:dyDescent="0.2">
      <c r="A87" s="9"/>
    </row>
    <row r="88" spans="1:11" x14ac:dyDescent="0.2">
      <c r="A88" s="9"/>
    </row>
    <row r="89" spans="1:11" x14ac:dyDescent="0.2">
      <c r="A89" s="9"/>
    </row>
    <row r="90" spans="1:11" s="1" customFormat="1" x14ac:dyDescent="0.2">
      <c r="A90" s="1" t="s">
        <v>77</v>
      </c>
      <c r="B90">
        <v>1260.15</v>
      </c>
      <c r="C90">
        <v>1215.9</v>
      </c>
      <c r="D90">
        <v>1424.58</v>
      </c>
      <c r="E90">
        <v>2001.65</v>
      </c>
      <c r="F90">
        <v>1826.1</v>
      </c>
      <c r="G90">
        <v>3177.85</v>
      </c>
      <c r="H90">
        <v>3739.95</v>
      </c>
      <c r="I90">
        <v>3205.9</v>
      </c>
      <c r="J90">
        <v>3876.3</v>
      </c>
      <c r="K90">
        <v>3606.15</v>
      </c>
    </row>
    <row r="92" spans="1:11" s="1" customFormat="1" x14ac:dyDescent="0.2">
      <c r="A92" s="1" t="s">
        <v>76</v>
      </c>
    </row>
    <row r="93" spans="1:11" x14ac:dyDescent="0.2">
      <c r="A93" s="5" t="s">
        <v>89</v>
      </c>
      <c r="B93" s="31">
        <v>394.09</v>
      </c>
      <c r="C93" s="31">
        <v>394.09</v>
      </c>
      <c r="D93" s="31">
        <v>382.86</v>
      </c>
      <c r="E93" s="31">
        <v>375.24</v>
      </c>
      <c r="F93" s="31">
        <v>375.24</v>
      </c>
      <c r="G93" s="31">
        <v>369.91</v>
      </c>
      <c r="H93" s="31">
        <v>365.91</v>
      </c>
      <c r="I93" s="31">
        <v>365.91</v>
      </c>
      <c r="J93" s="31">
        <v>361.81</v>
      </c>
      <c r="K93" s="31">
        <v>361.81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Profit &amp; Loss</vt:lpstr>
      <vt:lpstr>Quarters</vt:lpstr>
      <vt:lpstr>Balance Sheet</vt:lpstr>
      <vt:lpstr>Cash Flow</vt:lpstr>
      <vt:lpstr>Customization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Pratyush Mittal</cp:lastModifiedBy>
  <cp:lastPrinted>2012-12-06T18:14:13Z</cp:lastPrinted>
  <dcterms:created xsi:type="dcterms:W3CDTF">2012-08-17T09:55:37Z</dcterms:created>
  <dcterms:modified xsi:type="dcterms:W3CDTF">2021-10-21T02:50:53Z</dcterms:modified>
</cp:coreProperties>
</file>